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Fedőlap" sheetId="2" r:id="rId6"/>
    <sheet name="Irányelvek" sheetId="3" r:id="rId7"/>
    <sheet name="Ponthatárok"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<sst xmlns="http://schemas.openxmlformats.org/spreadsheetml/2006/main" uniqueCount="113">
  <si>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</si>
  <si>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</si>
  <si>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</si>
  <si>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</si>
  <si>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Fedőlap</t>
  </si>
  <si>
    <t>Table 1</t>
  </si>
  <si>
    <t>Web-fejlesztés kurzus beadandó feladata</t>
  </si>
  <si>
    <t>Verzió: v2025262_v2</t>
  </si>
  <si>
    <t>Neved:</t>
  </si>
  <si>
    <t>Mayer Hedda Adrienn</t>
  </si>
  <si>
    <t>Neptun kódod:</t>
  </si>
  <si>
    <t>DRWZQC</t>
  </si>
  <si>
    <t>E-mail címed:</t>
  </si>
  <si>
    <r>
      <rPr>
        <u val="single"/>
        <sz val="18"/>
        <color indexed="11"/>
        <rFont val="Arial"/>
      </rPr>
      <t>drwzqc@inf.elte.hu</t>
    </r>
  </si>
  <si>
    <t>A honlapot tesztelés céljából érdemes publikálni egy webszerveren még a beadás előtt. 
Azonban értékelésre a Canvas-ba feltöltött tömörített csomag kerül, amelyet saját webszerveren publikálunk.</t>
  </si>
  <si>
    <r>
      <rPr>
        <b val="1"/>
        <u val="single"/>
        <sz val="16"/>
        <color indexed="16"/>
        <rFont val="Calibri"/>
      </rPr>
      <t>Az irányelvek megtekintése és az adatlap kitöltése</t>
    </r>
  </si>
  <si>
    <t>Az irányelvek között vannak kiemelt (sárga háttérszínnel és félkövér kiemeléssel jelölt) elvek , amelyek betartására kiemelten figyelni kell! Az elégséges szinthez legalább 50 pontot el kell érni. A hallgatói és tutori értékelés tekintetében, maximum 15 darab irányelvben lehet eltérés, ennél több esetén már nem tudjuk elfogadni a feladatot.</t>
  </si>
  <si>
    <t>Irányelvek</t>
  </si>
  <si>
    <t>Az irányelvek száma:</t>
  </si>
  <si>
    <t>A táblázatot Excelben kérjük kitölteni (laborokban fel van telepítve), mivel az összesítő alkalmazás csak az eredeti XLSX állományokon működik. Más formátumú táblázatokat nem fogadunk el.</t>
  </si>
  <si>
    <t>Az irányelvek teljesítésére kapható maximális pontszám:</t>
  </si>
  <si>
    <t>A honlap elfogadásához szükséges minimális pontszám:</t>
  </si>
  <si>
    <t>Hallgatói önértékelés eredménye</t>
  </si>
  <si>
    <t>Az önértékelésed alapján minden kiemelt irányelvet teljesítettél:</t>
  </si>
  <si>
    <t>Az önellenőrzés során elért összpontszámod:</t>
  </si>
  <si>
    <t>Ha a feladatot önállóan értékelnénk, akkor az önértékelésed alapján jeles  érdemjegyet kapnál rá.</t>
  </si>
  <si>
    <t>Tutori értékelés eredménye</t>
  </si>
  <si>
    <t>A tutori értékelés alapján minden kiemelt irányelvet teljesítettél:</t>
  </si>
  <si>
    <t>Még nincs adat.</t>
  </si>
  <si>
    <t>Csak akkor van jelentősége, ha már a tutor is elvégezte az értékelést.</t>
  </si>
  <si>
    <t>A tutori értékelés (ellenőrzés) során elért összpontszámod:</t>
  </si>
  <si>
    <t>Az összpontszám a tutor által kiosztott további pontszámok alapján</t>
  </si>
  <si>
    <t>Önértékelés szakmaisága</t>
  </si>
  <si>
    <t>Az önértékelés helyességére járó maximális pontszám</t>
  </si>
  <si>
    <t>Az értékelés elfogadásához szükséges minimális pontszám</t>
  </si>
  <si>
    <t>A hallgatói és tutori értékelés közti különbség az irányelveket 
(nem pedig pontszámot) tekintve:</t>
  </si>
  <si>
    <t>A hallgató pontszáma az önértékelés szakmaiságát tekintve:</t>
  </si>
  <si>
    <t>A tutor elvégezte az értékelést az irányelvek alapján:</t>
  </si>
  <si>
    <t>A tutor által kiosztott további pontszám az alapján, hogy az előadáson ismertett egyéb elvek milyen mértékben teljesültek (lehet pozitív és negatív is)</t>
  </si>
  <si>
    <t>A tutor szöveges értékelése (opcionális)</t>
  </si>
  <si>
    <t>Kategória</t>
  </si>
  <si>
    <t>Teljesítési feltétel</t>
  </si>
  <si>
    <t>Az irányelv teljesül? [1 ha igen, 0 ha nem] (hallgatói önértékelés)</t>
  </si>
  <si>
    <t>Hallgató megjegyzése (üres cellák esetén opcionális)</t>
  </si>
  <si>
    <t>Az irányelv teljesül? [1/0] (tutori értékelés)</t>
  </si>
  <si>
    <t>Tutor megjegyzése</t>
  </si>
  <si>
    <t>Kiemelt irányelv?</t>
  </si>
  <si>
    <t>Pontszám, 
ha teljesül</t>
  </si>
  <si>
    <t>Kapott pontszám (önértékelés)</t>
  </si>
  <si>
    <t>Kapott pontszám (tutor értékelése)</t>
  </si>
  <si>
    <t>Eltérés</t>
  </si>
  <si>
    <t>Kurzus követelmény</t>
  </si>
  <si>
    <t>A weblap legalább három, statikus HTML oldalból áll, a kezdőlap index.html néven lett elmentve. Minden HTML oldal, ami a csomagban van, be is van linkelve az oldalakra, nincs felesleges HTML állomány. Az oldalak relatív módon vannak linkelve, nincs gyökérmappára való hivatkozás.</t>
  </si>
  <si>
    <r>
      <rPr>
        <sz val="11"/>
        <color indexed="8"/>
        <rFont val="Calibri"/>
      </rPr>
      <t xml:space="preserve">Van  (legalább egy) olyan oldal, amely  háttérképet tartalmaz </t>
    </r>
    <r>
      <rPr>
        <i val="1"/>
        <sz val="11"/>
        <color indexed="8"/>
        <rFont val="Calibri"/>
      </rPr>
      <t>(Nem muszáj, hogy a háttérkép a lap háttere legyen, lehet egy tetszőleges komponensé is.)</t>
    </r>
  </si>
  <si>
    <t>Az oldalak összesen legalább öt képet tartalmaznak. Ezek közül legalább két kép előképként (thumbnail) funkcionál, vagyis a fizikailag kisebb méretű kép a hozzá tartozó nagyobb képváltozatra linkel.</t>
  </si>
  <si>
    <t>Van olyan oldal, amelyen van olyan adattáblázat, amely legalább 2x3-as és vannak fejléc-cellái (&lt;th&gt;). 
A táblázat felirata (&lt;caption&gt;), lenyitható tartalomként lett elkészítve a &lt;details&gt; tag-be ágyazott &lt;summary&gt; tag segítségével.  Az oldal struktúráját nem szabad táblázat segítségével megvalósítani!</t>
  </si>
  <si>
    <t xml:space="preserve">Van olyan oldal, amelyben egy olyan űrlap található, amely tartalmaz legalább egy szövegmezőt (text), egy szövegterületet (textarea),legalább 2 választókapcsolót (radio), legalább 1 jelölőnégyzetet (checkbox), valamint egy elküldés (submit) gombot. </t>
  </si>
  <si>
    <t>contact.html</t>
  </si>
  <si>
    <r>
      <rPr>
        <sz val="11"/>
        <color indexed="8"/>
        <rFont val="Calibri"/>
      </rPr>
      <t xml:space="preserve">Van olyan oldal, amelyben egy felhasználói élményt javító JavaScript kód van beillesztve (pl. választás alternatív stíluslapból, betűméret váltás, képgaléria, ...) 
</t>
    </r>
    <r>
      <rPr>
        <i val="1"/>
        <sz val="11"/>
        <color indexed="8"/>
        <rFont val="Calibri"/>
      </rPr>
      <t>A Bootstrap keretrendszer komponensei is elfogadhatóak ennél a pontnál (pl. Carousel).</t>
    </r>
  </si>
  <si>
    <t>index.html (navbar lenyílik telefonnézetben)</t>
  </si>
  <si>
    <r>
      <rPr>
        <sz val="11"/>
        <color indexed="8"/>
        <rFont val="Calibri"/>
      </rPr>
      <t xml:space="preserve">Az oldalak mindegyike tartalommal fel van töltve, a szerkezeti linkeken kívül legalább 3 külső hivatkozást is tartalmaznak (összesen).  A Lorem ipsum,stb. töltelékszövegekkel feltöltött oldalak nem elfogadhatóak!
</t>
    </r>
    <r>
      <rPr>
        <i val="1"/>
        <sz val="11"/>
        <color indexed="8"/>
        <rFont val="Calibri"/>
      </rPr>
      <t>A szerkezeti linkek az aktuális oldalhoz képest relatívan vannak megadva.</t>
    </r>
  </si>
  <si>
    <r>
      <rPr>
        <sz val="11"/>
        <color indexed="8"/>
        <rFont val="Calibri"/>
      </rPr>
      <t xml:space="preserve">A HTML5-s oldal(ak)on  az alábbi tagek mindegyikének használatára van példa: &lt;header&gt;&lt;nav&gt;&lt;section&gt;&lt;article&gt;&lt;aside&gt;&lt;footer&gt;&lt;figure&gt;&lt;video&gt;.  
</t>
    </r>
    <r>
      <rPr>
        <i val="1"/>
        <sz val="11"/>
        <color indexed="8"/>
        <rFont val="Calibri"/>
      </rPr>
      <t>A tageknek nem kell minden oldalon előfordulniuk, de amikor szemantikailag indokolt a használatuk, akkor a megfelelő taget KELL használni!</t>
    </r>
  </si>
  <si>
    <t>Oldaltervezés</t>
  </si>
  <si>
    <r>
      <rPr>
        <sz val="11"/>
        <color indexed="8"/>
        <rFont val="Calibri"/>
      </rPr>
      <t xml:space="preserve">Az elkészült weblap reszponzív. 
</t>
    </r>
    <r>
      <rPr>
        <i val="1"/>
        <sz val="11"/>
        <color indexed="8"/>
        <rFont val="Calibri"/>
      </rPr>
      <t>Ezen felül igaz legalább 1 oldal esetén, hogy a kijelzőmérettől függően legalább háromféle elrendezés van megvalósítva (okostelefon, tablet, nagyobb kijelző), amelyek közül a (leg)kisebb kijelzőméretre tervezett elrendezés egyetlen oszlopból áll, a (leg)nagyobbra tervezett pedig legalább két oszlopból. A tartalmi elemek (beleértve a képeket és a videókat) minden oldalon relatívan vannak méretezve.</t>
    </r>
  </si>
  <si>
    <r>
      <rPr>
        <sz val="11"/>
        <color indexed="8"/>
        <rFont val="Calibri"/>
      </rPr>
      <t xml:space="preserve">A tartalom és a megjelenés megfelelően el van különítve egymástól külső stíluslap(ok) használatával. 
</t>
    </r>
    <r>
      <rPr>
        <i val="1"/>
        <sz val="11"/>
        <color indexed="8"/>
        <rFont val="Calibri"/>
      </rPr>
      <t>Inline, illetve internal stílusmegadás használata nem engedélyezett.</t>
    </r>
  </si>
  <si>
    <t>Az oldalcímek minden oldalon egy, az adott oldal tartalmára utaló kulcsszóval kezdődnek vagy végződnek, és a teljes webhelyen egységesen használt webhely nevét tartalmazzák.
(pl. Magamról – Gipsz Jakab honlapja; Gipsz Jakab honlapja – Magamról)</t>
  </si>
  <si>
    <t>A szöveg a megadott alapméretben jól olvasható</t>
  </si>
  <si>
    <t xml:space="preserve">A betűtípus megadásoknál konkrét betűtípusok és általános betűcsaládok is meg vannak adva, a kisebb méretű
szövegeknél talpnélküli (sans-serif) betűtípus van beállítva
</t>
  </si>
  <si>
    <t>A  betűméretek oly módon vannak megadva, hogy könnyen átméretezhető legyen a szöveg (%,em, vagy rem megadással)</t>
  </si>
  <si>
    <t xml:space="preserve">A menüsor felül, vagy  bal oldalon helyezkedik el, megfelelően elkülönül a tartalomtól (pl. színezett hátterű) </t>
  </si>
  <si>
    <t>Kinézetükben különböznek a még nem látogatott és látogatott linkek. A már látogatott link kontrasztaránya kisebb a nem látogatotthoz képest. A menü esetén ez nem feltétel.</t>
  </si>
  <si>
    <t>Nincs olyan szöveg aláhúzva, ami nem tölt be link szerepet</t>
  </si>
  <si>
    <r>
      <rPr>
        <sz val="11"/>
        <color indexed="8"/>
        <rFont val="Calibri"/>
      </rPr>
      <t xml:space="preserve">A linkek alá vannak húzva a szövegben, kivétel lehet a navigációs menü és linklista. 
</t>
    </r>
    <r>
      <rPr>
        <i val="1"/>
        <sz val="11"/>
        <color indexed="8"/>
        <rFont val="Calibri"/>
      </rPr>
      <t>Nem elegendő, hogy az aláhúzás csak akkor jelenik meg, amikor a felhasználó a link fölé vitte az egeret. Az aláhúzásnak mindig láthatónak kell lennie.</t>
    </r>
  </si>
  <si>
    <r>
      <rPr>
        <sz val="11"/>
        <color indexed="8"/>
        <rFont val="Calibri"/>
      </rPr>
      <t xml:space="preserve">Az oldalak jól nyomtathatók, a nyomtatási képen minden fontos információ látszik.
</t>
    </r>
    <r>
      <rPr>
        <i val="1"/>
        <sz val="11"/>
        <color indexed="8"/>
        <rFont val="Calibri"/>
      </rPr>
      <t>A képernyő és a nyomtató számára külön stíluslapot kell készíteni. A nyomtatási nézetben el kell tüntetni a minden oldalon ismétlődő elemeket, így például a menüt, a fejlécet, az oldalsávot stb.</t>
    </r>
    <r>
      <rPr>
        <sz val="11"/>
        <color indexed="8"/>
        <rFont val="Calibri"/>
      </rPr>
      <t xml:space="preserve"> </t>
    </r>
    <r>
      <rPr>
        <i val="1"/>
        <sz val="11"/>
        <color indexed="8"/>
        <rFont val="Calibri"/>
      </rPr>
      <t>A videók legyenek elrejtve, a képek pedig legyenek kicsinyítve. A szöveg papír- és festéktakarékosan töltse ki az oldalakat.</t>
    </r>
  </si>
  <si>
    <t>Az űrlapelemeknél van megfelelően hozzárendelt címke (label for="") és egyértelműen utal arra, hogy milyen információt kell az űrlapelemben szerepeltetni</t>
  </si>
  <si>
    <r>
      <rPr>
        <sz val="11"/>
        <color indexed="8"/>
        <rFont val="Calibri"/>
      </rPr>
      <t xml:space="preserve">Az űrlap szövegmezői a várt adatnak megfelelő hosszúságúak
</t>
    </r>
    <r>
      <rPr>
        <i val="1"/>
        <sz val="11"/>
        <color indexed="8"/>
        <rFont val="Calibri"/>
      </rPr>
      <t>A szövegmezők méretét és a begépelhető szöveg maximális hosszát is be kell állítani. A méret beállításhoz használható stíluslap is.</t>
    </r>
  </si>
  <si>
    <t>Az űrlap címkéi közel vannak az űrlapmezőkhöz, így nem gyengül az asszociáció</t>
  </si>
  <si>
    <t>Az űrlap tartalma elküldhető (e-mailben post metódussal, vagy más módon feldolgozásra kerül)</t>
  </si>
  <si>
    <t>Az űrlapok választókapcsolói (radio) minden lehetséges választ lefednek</t>
  </si>
  <si>
    <t>Az űrlapnál a nyomógomb funkcióját egyértelműen jelzi a felirata</t>
  </si>
  <si>
    <t>Tartalomtervezés</t>
  </si>
  <si>
    <t>A letapogathatóság elve alapján a kulcsszavak ki vannak emelve (félkövér, dőlt), ahol az értelmes, felsoroláslista lett használva</t>
  </si>
  <si>
    <r>
      <rPr>
        <sz val="11"/>
        <color indexed="8"/>
        <rFont val="Calibri"/>
      </rPr>
      <t xml:space="preserve">Értelmesen megfogalmazott címsorok (&lt;h1&gt;…&lt;h6&gt;) tagolják a szöveget minden egyes oldalon. 
</t>
    </r>
    <r>
      <rPr>
        <i val="1"/>
        <sz val="11"/>
        <color indexed="8"/>
        <rFont val="Calibri"/>
      </rPr>
      <t>A HTML5-ös oldalakon a címsorszinteket egymásba ágyazott oldalszerkezeti elemekben szerepeltetett &lt;h1&gt; címsorral is be lehet állítani.</t>
    </r>
    <r>
      <rPr>
        <sz val="11"/>
        <color indexed="8"/>
        <rFont val="Calibri"/>
      </rPr>
      <t xml:space="preserve"> </t>
    </r>
    <r>
      <rPr>
        <i val="1"/>
        <sz val="11"/>
        <color indexed="8"/>
        <rFont val="Calibri"/>
      </rPr>
      <t>Ha nem indokolt az alcímsorok használata, akkor elég egy &lt;h1&gt; taget elhelyezni.</t>
    </r>
  </si>
  <si>
    <t>Nincs olyan mintás háttér alkalmazva, amely megnehezíti a rajta lévő szöveg elolvasását</t>
  </si>
  <si>
    <t>A szövegblokkok, listák balra (esetleg sorkizártan) vannak igazítva</t>
  </si>
  <si>
    <t>A &lt;video&gt; taggel beillesztett videóállományból ki van vágva jellemző képkocka és poszterként be van állítva, hogy segítse a felhasználót annak eldöntésében, hogy érdemes-e megtekintenie a filmet.</t>
  </si>
  <si>
    <t>Ugyanazok a szerkezeti linkek szerepelnek minden oldalon, ugyanolyan sorrendben</t>
  </si>
  <si>
    <t>A kezdőlapra minden oldalról vissza lehet jutni egy link segítségével (pl. a menüben elhelyezett kezdőlap menüponttal, vagy ikonnal).</t>
  </si>
  <si>
    <r>
      <rPr>
        <sz val="11"/>
        <color indexed="8"/>
        <rFont val="Calibri"/>
      </rPr>
      <t xml:space="preserve">Ha valaki külső oldalról érkezik a weblap egy oldalára, egyértelműen kiderül számára, hogy melyik oldalon van (pl. aktuális oldal megkülönböztetése a menüben, nyomvonal navigáció stb.)
</t>
    </r>
    <r>
      <rPr>
        <i val="1"/>
        <sz val="11"/>
        <color indexed="8"/>
        <rFont val="Calibri"/>
      </rPr>
      <t>Nem elegendő a menüpont nevét (például) címsorként megismételni.</t>
    </r>
  </si>
  <si>
    <t>Akadálymentesség</t>
  </si>
  <si>
    <t>A nem design célú képeknél az ALT attribútum precízen ki van töltve (mindegyik képnél) (WCAG 2.0 1.1.1-es feltétel)</t>
  </si>
  <si>
    <t>A linkek szövegei önmagukban jól érthetőek (a "kattints ide" szöveg nem megfelelő), tömörek</t>
  </si>
  <si>
    <t>A szövegek jól olvashatóak, megfelelő kontrasztarány biztosított. (WCAG 2.0 1.4.3-as feltétel)</t>
  </si>
  <si>
    <t>Alternatív, nagybetűs, nagy kontrasztú stílus változat érhető el a gyengénlátó felhasználók számára minden oldalon.</t>
  </si>
  <si>
    <r>
      <rPr>
        <sz val="11"/>
        <color indexed="8"/>
        <rFont val="Calibri"/>
      </rPr>
      <t xml:space="preserve">Blokkok elkerülése: Minden oldalon hozzáférhető egy mechanizmus, melynek segítségével elkerülhetők azok a tartalmi blokkok, amelyek több oldalon is ismétlődnek (pl. képernyőről kipozícionált hivatkozás használatával) (WCAG 2.0 2.4.1-es feltétel)
</t>
    </r>
    <r>
      <rPr>
        <i val="1"/>
        <sz val="11"/>
        <color indexed="8"/>
        <rFont val="Calibri"/>
      </rPr>
      <t>A tartalomra ugrás céljára használt linket a képernyőolvasó programot használók számára kell elérhetővé tennünk, a vizuális böngészőprogramokban ne jelenjenek meg, kivéve amikor fókuszba kerülnek.</t>
    </r>
  </si>
  <si>
    <r>
      <rPr>
        <sz val="11"/>
        <color indexed="8"/>
        <rFont val="Calibri"/>
      </rPr>
      <t xml:space="preserve">A videónál szerepel annak teljes szövegű leírása.
</t>
    </r>
    <r>
      <rPr>
        <i val="1"/>
        <sz val="11"/>
        <color indexed="8"/>
        <rFont val="Calibri"/>
      </rPr>
      <t>A leírásnak minden lényeges történést tartalmaznia kell, ami a videóban látható vagy hallható, nem elegendő néhány szóban csak összefoglalni a videó tartalmát. Célszerű külön HTML-állományban elhelyezni, és a videó után belinkelni, vagy &lt;details&gt;&lt;summary&gt; tagekben elhelyezni a videó után. A pont csak akkor adható meg, ha a videó legalább 30 másodperc hosszú, legalább 15 másodpercig beszélnek a résztvevők vagy a narrátor, nem csak statikus a háttere, vagyis vannak benne vizuális történések)</t>
    </r>
  </si>
  <si>
    <t>Az oldal nyelve mindegyik oldalon beállításra került. Ahol az alapértelmezett nyelvtől eltérő szöveg is van az oldalon, az el van látva a megfelelő nyelvkóddal.</t>
  </si>
  <si>
    <t>Tesztelés</t>
  </si>
  <si>
    <t>A karakterkódolás megfelelően be van állítva (pl. utf-8), az ékezetes karakterek helyesen jelennek meg</t>
  </si>
  <si>
    <t>Nincsenek hiányzó elemek, törött linkek, nem működő funkciók</t>
  </si>
  <si>
    <t>A leggyakrabban használt böngészőprogramokkal tesztelve (Chrome, Firefox, Edge)  az oldal funkcionálisan működik (eltekintve azon HTML5 és CSS3 funkcióktól, amelyek esetleg nincsenek implementálva az adott böngészőben)</t>
  </si>
  <si>
    <t>Legalább egy oldal a HTML5 szabvány szerint készült és valid a https://validator.w3.org/ oldal szerint</t>
  </si>
  <si>
    <t>Mindegyik beadott oldal a HTML5 szabvány szerint készült és valid a https://validator.w3.org/ oldal szerint</t>
  </si>
  <si>
    <t>mindegyik</t>
  </si>
  <si>
    <r>
      <rPr>
        <sz val="11"/>
        <color indexed="8"/>
        <rFont val="Calibri"/>
      </rPr>
      <t xml:space="preserve">Van(nak) saját készítésű CSS állomány(ok), amelyek legalább 15 szabályt tartalmaznak. A CSS állományok valid(ak) a jigsaw.w3.org/css-validator/ oldal szerint. 
</t>
    </r>
    <r>
      <rPr>
        <i val="1"/>
        <sz val="11"/>
        <color indexed="8"/>
        <rFont val="Calibri"/>
      </rPr>
      <t>Amennyiben a Bootstrap keretrendszer lett használva, a saját készítésű stílusok megfelelően elkülönülnek a Bootstrap stílusállományaitól.</t>
    </r>
  </si>
  <si>
    <t>style.css</t>
  </si>
  <si>
    <t>Ponthatárok</t>
  </si>
  <si>
    <t>Honlap irányelvek</t>
  </si>
  <si>
    <t>elégtelen</t>
  </si>
  <si>
    <t>elégséges</t>
  </si>
  <si>
    <t>közepes</t>
  </si>
  <si>
    <t>jó</t>
  </si>
  <si>
    <t>jeles</t>
  </si>
</sst>
</file>

<file path=xl/styles.xml><?xml version="1.0" encoding="utf-8"?>
<styleSheet xmlns="http://schemas.openxmlformats.org/spreadsheetml/2006/main">
  <numFmts count="3">
    <numFmt numFmtId="0" formatCode="General"/>
    <numFmt numFmtId="59" formatCode="&quot; &quot;;&quot; &quot;;&quot; &quot;"/>
    <numFmt numFmtId="60" formatCode="#,##0&quot; &quot;;&quot;-&quot;#,##0&quot; &quot;"/>
  </numFmts>
  <fonts count="24">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12"/>
      <name val="Calibri"/>
    </font>
    <font>
      <b val="1"/>
      <sz val="14"/>
      <color indexed="12"/>
      <name val="Calibri"/>
    </font>
    <font>
      <b val="1"/>
      <i val="1"/>
      <sz val="11"/>
      <color indexed="8"/>
      <name val="Calibri"/>
    </font>
    <font>
      <sz val="16"/>
      <color indexed="8"/>
      <name val="Arial"/>
    </font>
    <font>
      <sz val="18"/>
      <color indexed="8"/>
      <name val="Arial"/>
    </font>
    <font>
      <sz val="18"/>
      <color indexed="8"/>
      <name val="Calibri"/>
    </font>
    <font>
      <u val="single"/>
      <sz val="18"/>
      <color indexed="11"/>
      <name val="Arial"/>
    </font>
    <font>
      <b val="1"/>
      <sz val="11"/>
      <color indexed="12"/>
      <name val="Calibri"/>
    </font>
    <font>
      <b val="1"/>
      <u val="single"/>
      <sz val="16"/>
      <color indexed="16"/>
      <name val="Calibri"/>
    </font>
    <font>
      <b val="1"/>
      <sz val="11"/>
      <color indexed="8"/>
      <name val="Calibri"/>
    </font>
    <font>
      <b val="1"/>
      <i val="1"/>
      <sz val="11"/>
      <color indexed="19"/>
      <name val="Calibri"/>
    </font>
    <font>
      <b val="1"/>
      <sz val="11"/>
      <color indexed="19"/>
      <name val="Calibri"/>
    </font>
    <font>
      <i val="1"/>
      <sz val="11"/>
      <color indexed="8"/>
      <name val="Calibri"/>
    </font>
    <font>
      <b val="1"/>
      <sz val="10"/>
      <color indexed="12"/>
      <name val="Calibri"/>
    </font>
    <font>
      <b val="1"/>
      <sz val="9"/>
      <color indexed="12"/>
      <name val="Calibri"/>
    </font>
    <font>
      <b val="1"/>
      <sz val="10"/>
      <color indexed="8"/>
      <name val="Calibri"/>
    </font>
    <font>
      <sz val="9"/>
      <color indexed="8"/>
      <name val="Calibri"/>
    </font>
    <font>
      <sz val="10"/>
      <color indexed="8"/>
      <name val="Calibri"/>
    </font>
  </fonts>
  <fills count="1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5"/>
        <bgColor auto="1"/>
      </patternFill>
    </fill>
    <fill>
      <patternFill patternType="solid">
        <fgColor indexed="26"/>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
      <patternFill patternType="solid">
        <fgColor indexed="32"/>
        <bgColor auto="1"/>
      </patternFill>
    </fill>
  </fills>
  <borders count="59">
    <border>
      <left/>
      <right/>
      <top/>
      <bottom/>
      <diagonal/>
    </border>
    <border>
      <left style="thin">
        <color indexed="14"/>
      </left>
      <right/>
      <top style="thin">
        <color indexed="14"/>
      </top>
      <bottom/>
      <diagonal/>
    </border>
    <border>
      <left/>
      <right/>
      <top style="thin">
        <color indexed="14"/>
      </top>
      <bottom style="thin">
        <color indexed="15"/>
      </bottom>
      <diagonal/>
    </border>
    <border>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5"/>
      </right>
      <top/>
      <bottom/>
      <diagonal/>
    </border>
    <border>
      <left style="thin">
        <color indexed="15"/>
      </left>
      <right style="thin">
        <color indexed="15"/>
      </right>
      <top style="thin">
        <color indexed="15"/>
      </top>
      <bottom style="thin">
        <color indexed="15"/>
      </bottom>
      <diagonal/>
    </border>
    <border>
      <left style="thin">
        <color indexed="15"/>
      </left>
      <right/>
      <top/>
      <bottom/>
      <diagonal/>
    </border>
    <border>
      <left style="thin">
        <color indexed="14"/>
      </left>
      <right/>
      <top/>
      <bottom/>
      <diagonal/>
    </border>
    <border>
      <left/>
      <right/>
      <top style="thin">
        <color indexed="15"/>
      </top>
      <bottom/>
      <diagonal/>
    </border>
    <border>
      <left/>
      <right/>
      <top/>
      <bottom/>
      <diagonal/>
    </border>
    <border>
      <left/>
      <right style="thin">
        <color indexed="14"/>
      </right>
      <top/>
      <bottom/>
      <diagonal/>
    </border>
    <border>
      <left style="thin">
        <color indexed="14"/>
      </left>
      <right style="thin">
        <color indexed="14"/>
      </right>
      <top/>
      <bottom/>
      <diagonal/>
    </border>
    <border>
      <left/>
      <right/>
      <top/>
      <bottom style="thin">
        <color indexed="8"/>
      </bottom>
      <diagonal/>
    </border>
    <border>
      <left style="thin">
        <color indexed="14"/>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top style="thin">
        <color indexed="8"/>
      </top>
      <bottom style="thin">
        <color indexed="8"/>
      </bottom>
      <diagonal/>
    </border>
    <border>
      <left/>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14"/>
      </left>
      <right/>
      <top/>
      <bottom style="thin">
        <color indexed="14"/>
      </bottom>
      <diagonal/>
    </border>
    <border>
      <left/>
      <right/>
      <top/>
      <bottom style="thin">
        <color indexed="14"/>
      </bottom>
      <diagonal/>
    </border>
    <border>
      <left style="thin">
        <color indexed="8"/>
      </left>
      <right style="thin">
        <color indexed="12"/>
      </right>
      <top style="thin">
        <color indexed="12"/>
      </top>
      <bottom style="thin">
        <color indexed="8"/>
      </bottom>
      <diagonal/>
    </border>
    <border>
      <left style="thin">
        <color indexed="12"/>
      </left>
      <right style="thin">
        <color indexed="12"/>
      </right>
      <top style="thin">
        <color indexed="8"/>
      </top>
      <bottom style="thin">
        <color indexed="8"/>
      </bottom>
      <diagonal/>
    </border>
    <border>
      <left style="thin">
        <color indexed="12"/>
      </left>
      <right style="thin">
        <color indexed="12"/>
      </right>
      <top style="thin">
        <color indexed="8"/>
      </top>
      <bottom style="medium">
        <color indexed="8"/>
      </bottom>
      <diagonal/>
    </border>
    <border>
      <left style="thin">
        <color indexed="12"/>
      </left>
      <right style="thin">
        <color indexed="8"/>
      </right>
      <top style="thin">
        <color indexed="8"/>
      </top>
      <bottom style="thin">
        <color indexed="8"/>
      </bottom>
      <diagonal/>
    </border>
    <border>
      <left style="thin">
        <color indexed="8"/>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8"/>
      </bottom>
      <diagonal/>
    </border>
    <border>
      <left style="thin">
        <color indexed="8"/>
      </left>
      <right style="medium">
        <color indexed="8"/>
      </right>
      <top style="thin">
        <color indexed="8"/>
      </top>
      <bottom style="thick">
        <color indexed="8"/>
      </bottom>
      <diagonal/>
    </border>
    <border>
      <left style="medium">
        <color indexed="8"/>
      </left>
      <right style="medium">
        <color indexed="8"/>
      </right>
      <top style="thin">
        <color indexed="8"/>
      </top>
      <bottom style="thick">
        <color indexed="8"/>
      </bottom>
      <diagonal/>
    </border>
    <border>
      <left style="medium">
        <color indexed="8"/>
      </left>
      <right style="thin">
        <color indexed="8"/>
      </right>
      <top style="thin">
        <color indexed="8"/>
      </top>
      <bottom style="thick">
        <color indexed="8"/>
      </bottom>
      <diagonal/>
    </border>
    <border>
      <left style="thin">
        <color indexed="8"/>
      </left>
      <right style="thin">
        <color indexed="14"/>
      </right>
      <top style="thin">
        <color indexed="14"/>
      </top>
      <bottom style="thick">
        <color indexed="8"/>
      </bottom>
      <diagonal/>
    </border>
    <border>
      <left style="thin">
        <color indexed="14"/>
      </left>
      <right style="thin">
        <color indexed="14"/>
      </right>
      <top style="thin">
        <color indexed="14"/>
      </top>
      <bottom style="thick">
        <color indexed="8"/>
      </bottom>
      <diagonal/>
    </border>
    <border>
      <left style="thin">
        <color indexed="8"/>
      </left>
      <right style="thin">
        <color indexed="8"/>
      </right>
      <top style="thick">
        <color indexed="8"/>
      </top>
      <bottom style="thin">
        <color indexed="8"/>
      </bottom>
      <diagonal/>
    </border>
    <border>
      <left style="thin">
        <color indexed="8"/>
      </left>
      <right style="medium">
        <color indexed="8"/>
      </right>
      <top style="thick">
        <color indexed="8"/>
      </top>
      <bottom style="thin">
        <color indexed="8"/>
      </bottom>
      <diagonal/>
    </border>
    <border>
      <left style="medium">
        <color indexed="8"/>
      </left>
      <right style="medium">
        <color indexed="8"/>
      </right>
      <top style="thick">
        <color indexed="8"/>
      </top>
      <bottom style="thin">
        <color indexed="8"/>
      </bottom>
      <diagonal/>
    </border>
    <border>
      <left style="medium">
        <color indexed="8"/>
      </left>
      <right style="thin">
        <color indexed="8"/>
      </right>
      <top style="thick">
        <color indexed="8"/>
      </top>
      <bottom style="thin">
        <color indexed="8"/>
      </bottom>
      <diagonal/>
    </border>
    <border>
      <left style="thin">
        <color indexed="8"/>
      </left>
      <right style="thin">
        <color indexed="14"/>
      </right>
      <top style="thick">
        <color indexed="8"/>
      </top>
      <bottom style="thin">
        <color indexed="14"/>
      </bottom>
      <diagonal/>
    </border>
    <border>
      <left style="thin">
        <color indexed="14"/>
      </left>
      <right style="thin">
        <color indexed="14"/>
      </right>
      <top style="thick">
        <color indexed="8"/>
      </top>
      <bottom style="thin">
        <color indexed="14"/>
      </bottom>
      <diagonal/>
    </border>
    <border>
      <left style="thin">
        <color indexed="8"/>
      </left>
      <right style="thin">
        <color indexed="14"/>
      </right>
      <top style="thin">
        <color indexed="8"/>
      </top>
      <bottom style="thin">
        <color indexed="14"/>
      </bottom>
      <diagonal/>
    </border>
    <border>
      <left style="thin">
        <color indexed="14"/>
      </left>
      <right style="thin">
        <color indexed="14"/>
      </right>
      <top style="thin">
        <color indexed="8"/>
      </top>
      <bottom style="thin">
        <color indexed="14"/>
      </bottom>
      <diagonal/>
    </border>
    <border>
      <left style="thin">
        <color indexed="14"/>
      </left>
      <right style="thin">
        <color indexed="14"/>
      </right>
      <top style="medium">
        <color indexed="8"/>
      </top>
      <bottom style="thin">
        <color indexed="14"/>
      </bottom>
      <diagonal/>
    </border>
    <border>
      <left style="thin">
        <color indexed="14"/>
      </left>
      <right style="thin">
        <color indexed="14"/>
      </right>
      <top style="thin">
        <color indexed="14"/>
      </top>
      <bottom style="medium">
        <color indexed="8"/>
      </bottom>
      <diagonal/>
    </border>
    <border>
      <left style="thin">
        <color indexed="14"/>
      </left>
      <right style="medium">
        <color indexed="8"/>
      </right>
      <top style="thin">
        <color indexed="14"/>
      </top>
      <bottom style="thin">
        <color indexed="14"/>
      </bottom>
      <diagonal/>
    </border>
    <border>
      <left style="medium">
        <color indexed="8"/>
      </left>
      <right style="thin">
        <color indexed="14"/>
      </right>
      <top style="thin">
        <color indexed="14"/>
      </top>
      <bottom style="thin">
        <color indexed="14"/>
      </bottom>
      <diagonal/>
    </border>
    <border>
      <left style="thin">
        <color indexed="14"/>
      </left>
      <right style="thin">
        <color indexed="8"/>
      </right>
      <top style="thin">
        <color indexed="14"/>
      </top>
      <bottom/>
      <diagonal/>
    </border>
    <border>
      <left/>
      <right style="thin">
        <color indexed="14"/>
      </right>
      <top style="thin">
        <color indexed="8"/>
      </top>
      <bottom style="thin">
        <color indexed="14"/>
      </bottom>
      <diagonal/>
    </border>
  </borders>
  <cellStyleXfs count="1">
    <xf numFmtId="0" fontId="0" applyNumberFormat="0" applyFont="1" applyFill="0" applyBorder="0" applyAlignment="1" applyProtection="0">
      <alignment vertical="bottom"/>
    </xf>
  </cellStyleXfs>
  <cellXfs count="16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6" fillId="4" borderId="1" applyNumberFormat="0" applyFont="1" applyFill="1" applyBorder="1" applyAlignment="1" applyProtection="0">
      <alignment vertical="bottom"/>
    </xf>
    <xf numFmtId="49" fontId="7" fillId="4" borderId="2" applyNumberFormat="1" applyFont="1" applyFill="1" applyBorder="1" applyAlignment="1" applyProtection="0">
      <alignment horizontal="center" vertical="center"/>
    </xf>
    <xf numFmtId="0" fontId="7" fillId="4" borderId="2" applyNumberFormat="0" applyFont="1" applyFill="1" applyBorder="1" applyAlignment="1" applyProtection="0">
      <alignment horizontal="center" vertical="center"/>
    </xf>
    <xf numFmtId="0" fontId="6" fillId="4" borderId="3" applyNumberFormat="0" applyFont="1" applyFill="1" applyBorder="1" applyAlignment="1" applyProtection="0">
      <alignment vertical="bottom"/>
    </xf>
    <xf numFmtId="49" fontId="8" borderId="4" applyNumberFormat="1" applyFont="1" applyFill="0" applyBorder="1" applyAlignment="1" applyProtection="0">
      <alignment vertical="bottom"/>
    </xf>
    <xf numFmtId="0" fontId="0" fillId="4" borderId="5" applyNumberFormat="0" applyFont="1" applyFill="1" applyBorder="1" applyAlignment="1" applyProtection="0">
      <alignment vertical="bottom"/>
    </xf>
    <xf numFmtId="49" fontId="9" borderId="6" applyNumberFormat="1" applyFont="1" applyFill="0" applyBorder="1" applyAlignment="1" applyProtection="0">
      <alignment vertical="bottom"/>
    </xf>
    <xf numFmtId="49" fontId="10" borderId="6" applyNumberFormat="1" applyFont="1" applyFill="0" applyBorder="1" applyAlignment="1" applyProtection="0">
      <alignment vertical="bottom"/>
    </xf>
    <xf numFmtId="0" fontId="11" borderId="6" applyNumberFormat="0" applyFont="1" applyFill="0" applyBorder="1" applyAlignment="1" applyProtection="0">
      <alignment vertical="bottom"/>
    </xf>
    <xf numFmtId="0" fontId="0" fillId="4" borderId="7" applyNumberFormat="0" applyFont="1" applyFill="1" applyBorder="1" applyAlignment="1" applyProtection="0">
      <alignment vertical="bottom"/>
    </xf>
    <xf numFmtId="0" fontId="0" borderId="4" applyNumberFormat="0" applyFont="1" applyFill="0" applyBorder="1" applyAlignment="1" applyProtection="0">
      <alignment vertical="bottom"/>
    </xf>
    <xf numFmtId="0" fontId="0" fillId="4" borderId="8" applyNumberFormat="0" applyFont="1" applyFill="1" applyBorder="1" applyAlignment="1" applyProtection="0">
      <alignment vertical="bottom"/>
    </xf>
    <xf numFmtId="49" fontId="13" fillId="4" borderId="9" applyNumberFormat="1" applyFont="1" applyFill="1" applyBorder="1" applyAlignment="1" applyProtection="0">
      <alignment horizontal="center" vertical="bottom" wrapText="1"/>
    </xf>
    <xf numFmtId="0" fontId="13" fillId="4" borderId="9" applyNumberFormat="0" applyFont="1" applyFill="1" applyBorder="1" applyAlignment="1" applyProtection="0">
      <alignment horizontal="center" vertical="bottom" wrapText="1"/>
    </xf>
    <xf numFmtId="0" fontId="0" fillId="4" borderId="10" applyNumberFormat="0" applyFont="1" applyFill="1" applyBorder="1" applyAlignment="1" applyProtection="0">
      <alignment vertical="bottom"/>
    </xf>
    <xf numFmtId="49" fontId="14" fillId="5" borderId="10" applyNumberFormat="1" applyFont="1" applyFill="1" applyBorder="1" applyAlignment="1" applyProtection="0">
      <alignment horizontal="center" vertical="center"/>
    </xf>
    <xf numFmtId="0" fontId="14" fillId="5" borderId="11" applyNumberFormat="0" applyFont="1" applyFill="1" applyBorder="1" applyAlignment="1" applyProtection="0">
      <alignment horizontal="center" vertical="center"/>
    </xf>
    <xf numFmtId="0" fontId="14" fillId="5" borderId="12" applyNumberFormat="0" applyFont="1" applyFill="1" applyBorder="1" applyAlignment="1" applyProtection="0">
      <alignment horizontal="center" vertical="center"/>
    </xf>
    <xf numFmtId="0" fontId="14" fillId="5" borderId="8" applyNumberFormat="0" applyFont="1" applyFill="1" applyBorder="1" applyAlignment="1" applyProtection="0">
      <alignment horizontal="center" vertical="center"/>
    </xf>
    <xf numFmtId="0" fontId="0" fillId="6" borderId="10" applyNumberFormat="0" applyFont="1" applyFill="1" applyBorder="1" applyAlignment="1" applyProtection="0">
      <alignment vertical="bottom" wrapText="1"/>
    </xf>
    <xf numFmtId="0" fontId="0" fillId="6" borderId="10" applyNumberFormat="0" applyFont="1" applyFill="1" applyBorder="1" applyAlignment="1" applyProtection="0">
      <alignment vertical="bottom"/>
    </xf>
    <xf numFmtId="0" fontId="0" fillId="7" borderId="10" applyNumberFormat="0" applyFont="1" applyFill="1" applyBorder="1" applyAlignment="1" applyProtection="0">
      <alignment vertical="bottom"/>
    </xf>
    <xf numFmtId="49" fontId="15" fillId="7" borderId="13" applyNumberFormat="1" applyFont="1" applyFill="1" applyBorder="1" applyAlignment="1" applyProtection="0">
      <alignment vertical="bottom"/>
    </xf>
    <xf numFmtId="0" fontId="0" fillId="7" borderId="13" applyNumberFormat="0" applyFont="1" applyFill="1" applyBorder="1" applyAlignment="1" applyProtection="0">
      <alignment vertical="bottom"/>
    </xf>
    <xf numFmtId="0" fontId="0" fillId="4" borderId="14" applyNumberFormat="0" applyFont="1" applyFill="1" applyBorder="1" applyAlignment="1" applyProtection="0">
      <alignment vertical="bottom"/>
    </xf>
    <xf numFmtId="49" fontId="0" fillId="5" borderId="15" applyNumberFormat="1" applyFont="1" applyFill="1" applyBorder="1" applyAlignment="1" applyProtection="0">
      <alignment vertical="top"/>
    </xf>
    <xf numFmtId="0" fontId="0" fillId="5" borderId="15" applyNumberFormat="0" applyFont="1" applyFill="1" applyBorder="1" applyAlignment="1" applyProtection="0">
      <alignment vertical="top"/>
    </xf>
    <xf numFmtId="0" fontId="0" borderId="15" applyNumberFormat="1" applyFont="1" applyFill="0" applyBorder="1" applyAlignment="1" applyProtection="0">
      <alignment vertical="bottom"/>
    </xf>
    <xf numFmtId="0" fontId="0" fillId="7" borderId="16" applyNumberFormat="0" applyFont="1" applyFill="1" applyBorder="1" applyAlignment="1" applyProtection="0">
      <alignment vertical="bottom"/>
    </xf>
    <xf numFmtId="49" fontId="16" fillId="8" borderId="15" applyNumberFormat="1" applyFont="1" applyFill="1" applyBorder="1" applyAlignment="1" applyProtection="0">
      <alignment vertical="top" wrapText="1"/>
    </xf>
    <xf numFmtId="0" fontId="16" fillId="8" borderId="15" applyNumberFormat="0" applyFont="1" applyFill="1" applyBorder="1" applyAlignment="1" applyProtection="0">
      <alignment vertical="top" wrapText="1"/>
    </xf>
    <xf numFmtId="0" fontId="0" fillId="4" borderId="17" applyNumberFormat="0" applyFont="1" applyFill="1" applyBorder="1" applyAlignment="1" applyProtection="0">
      <alignment vertical="bottom"/>
    </xf>
    <xf numFmtId="0" fontId="17" borderId="15" applyNumberFormat="0" applyFont="1" applyFill="0" applyBorder="1" applyAlignment="1" applyProtection="0">
      <alignment vertical="bottom"/>
    </xf>
    <xf numFmtId="49" fontId="15" fillId="7" borderId="18" applyNumberFormat="1" applyFont="1" applyFill="1" applyBorder="1" applyAlignment="1" applyProtection="0">
      <alignment vertical="bottom"/>
    </xf>
    <xf numFmtId="0" fontId="15" fillId="7" borderId="18" applyNumberFormat="0" applyFont="1" applyFill="1" applyBorder="1" applyAlignment="1" applyProtection="0">
      <alignment vertical="bottom"/>
    </xf>
    <xf numFmtId="0" fontId="0" fillId="7" borderId="19" applyNumberFormat="0" applyFont="1" applyFill="1" applyBorder="1" applyAlignment="1" applyProtection="0">
      <alignment vertical="bottom"/>
    </xf>
    <xf numFmtId="0" fontId="0" fillId="7" borderId="17" applyNumberFormat="0" applyFont="1" applyFill="1" applyBorder="1" applyAlignment="1" applyProtection="0">
      <alignment vertical="bottom"/>
    </xf>
    <xf numFmtId="0" fontId="15" fillId="9" borderId="15" applyNumberFormat="1" applyFont="1" applyFill="1" applyBorder="1" applyAlignment="1" applyProtection="0">
      <alignment vertical="top"/>
    </xf>
    <xf numFmtId="0" fontId="18" fillId="8" borderId="15" applyNumberFormat="0" applyFont="1" applyFill="1" applyBorder="1" applyAlignment="1" applyProtection="0">
      <alignment vertical="top" wrapText="1"/>
    </xf>
    <xf numFmtId="0" fontId="0" fillId="7" borderId="18" applyNumberFormat="0" applyFont="1" applyFill="1" applyBorder="1" applyAlignment="1" applyProtection="0">
      <alignment vertical="bottom"/>
    </xf>
    <xf numFmtId="0" fontId="0" borderId="15" applyNumberFormat="0" applyFont="1" applyFill="0" applyBorder="1" applyAlignment="1" applyProtection="0">
      <alignment vertical="bottom"/>
    </xf>
    <xf numFmtId="49" fontId="18" fillId="8" borderId="20" applyNumberFormat="1" applyFont="1" applyFill="1" applyBorder="1" applyAlignment="1" applyProtection="0">
      <alignment vertical="top" wrapText="1"/>
    </xf>
    <xf numFmtId="0" fontId="18" fillId="8" borderId="19" applyNumberFormat="0" applyFont="1" applyFill="1" applyBorder="1" applyAlignment="1" applyProtection="0">
      <alignment vertical="top" wrapText="1"/>
    </xf>
    <xf numFmtId="0" fontId="18" fillId="8" borderId="21" applyNumberFormat="0" applyFont="1" applyFill="1" applyBorder="1" applyAlignment="1" applyProtection="0">
      <alignment vertical="top" wrapText="1"/>
    </xf>
    <xf numFmtId="0" fontId="15" fillId="9" borderId="15" applyNumberFormat="0" applyFont="1" applyFill="1" applyBorder="1" applyAlignment="1" applyProtection="0">
      <alignment vertical="top"/>
    </xf>
    <xf numFmtId="0" fontId="18" fillId="8" borderId="17" applyNumberFormat="0" applyFont="1" applyFill="1" applyBorder="1" applyAlignment="1" applyProtection="0">
      <alignment vertical="top" wrapText="1"/>
    </xf>
    <xf numFmtId="0" fontId="18" fillId="8" borderId="10" applyNumberFormat="0" applyFont="1" applyFill="1" applyBorder="1" applyAlignment="1" applyProtection="0">
      <alignment vertical="top" wrapText="1"/>
    </xf>
    <xf numFmtId="0" fontId="18" fillId="8" borderId="22" applyNumberFormat="0" applyFont="1" applyFill="1" applyBorder="1" applyAlignment="1" applyProtection="0">
      <alignment vertical="top" wrapText="1"/>
    </xf>
    <xf numFmtId="0" fontId="18" fillId="8" borderId="23" applyNumberFormat="0" applyFont="1" applyFill="1" applyBorder="1" applyAlignment="1" applyProtection="0">
      <alignment vertical="top" wrapText="1"/>
    </xf>
    <xf numFmtId="0" fontId="18" fillId="8" borderId="13" applyNumberFormat="0" applyFont="1" applyFill="1" applyBorder="1" applyAlignment="1" applyProtection="0">
      <alignment vertical="top" wrapText="1"/>
    </xf>
    <xf numFmtId="0" fontId="18" fillId="8" borderId="24" applyNumberFormat="0" applyFont="1" applyFill="1" applyBorder="1" applyAlignment="1" applyProtection="0">
      <alignment vertical="top" wrapText="1"/>
    </xf>
    <xf numFmtId="0" fontId="0" fillId="5" borderId="15" applyNumberFormat="1" applyFont="1" applyFill="1" applyBorder="1" applyAlignment="1" applyProtection="0">
      <alignment vertical="top"/>
    </xf>
    <xf numFmtId="49" fontId="18" fillId="8" borderId="15" applyNumberFormat="1" applyFont="1" applyFill="1" applyBorder="1" applyAlignment="1" applyProtection="0">
      <alignment vertical="top" wrapText="1"/>
    </xf>
    <xf numFmtId="0" fontId="0" fillId="8" borderId="15" applyNumberFormat="0" applyFont="1" applyFill="1" applyBorder="1" applyAlignment="1" applyProtection="0">
      <alignment vertical="top" wrapText="1"/>
    </xf>
    <xf numFmtId="49" fontId="0" fillId="5" borderId="15" applyNumberFormat="1" applyFont="1" applyFill="1" applyBorder="1" applyAlignment="1" applyProtection="0">
      <alignment vertical="top" wrapText="1"/>
    </xf>
    <xf numFmtId="0" fontId="0" fillId="7" borderId="18" applyNumberFormat="0" applyFont="1" applyFill="1" applyBorder="1" applyAlignment="1" applyProtection="0">
      <alignment vertical="top"/>
    </xf>
    <xf numFmtId="0" fontId="0" fillId="7" borderId="10" applyNumberFormat="0" applyFont="1" applyFill="1" applyBorder="1" applyAlignment="1" applyProtection="0">
      <alignment vertical="top"/>
    </xf>
    <xf numFmtId="0" fontId="0" fillId="7" borderId="19" applyNumberFormat="0" applyFont="1" applyFill="1" applyBorder="1" applyAlignment="1" applyProtection="0">
      <alignment vertical="top"/>
    </xf>
    <xf numFmtId="0" fontId="0" fillId="5" borderId="15" applyNumberFormat="1" applyFont="1" applyFill="1" applyBorder="1" applyAlignment="1" applyProtection="0">
      <alignment horizontal="center" vertical="top"/>
    </xf>
    <xf numFmtId="0" fontId="0" fillId="7" borderId="17" applyNumberFormat="0" applyFont="1" applyFill="1" applyBorder="1" applyAlignment="1" applyProtection="0">
      <alignment vertical="top"/>
    </xf>
    <xf numFmtId="49" fontId="0" fillId="5" borderId="25" applyNumberFormat="1" applyFont="1" applyFill="1" applyBorder="1" applyAlignment="1" applyProtection="0">
      <alignment vertical="top" wrapText="1"/>
    </xf>
    <xf numFmtId="0" fontId="0" fillId="5" borderId="26" applyNumberFormat="0" applyFont="1" applyFill="1" applyBorder="1" applyAlignment="1" applyProtection="0">
      <alignment vertical="top" wrapText="1"/>
    </xf>
    <xf numFmtId="0" fontId="0" fillId="5" borderId="15" applyNumberFormat="0" applyFont="1" applyFill="1" applyBorder="1" applyAlignment="1" applyProtection="0">
      <alignment horizontal="center" vertical="top"/>
    </xf>
    <xf numFmtId="49" fontId="15" fillId="7" borderId="19" applyNumberFormat="1" applyFont="1" applyFill="1" applyBorder="1" applyAlignment="1" applyProtection="0">
      <alignment vertical="top" wrapText="1"/>
    </xf>
    <xf numFmtId="0" fontId="15" fillId="7" borderId="19" applyNumberFormat="0" applyFont="1" applyFill="1" applyBorder="1" applyAlignment="1" applyProtection="0">
      <alignment vertical="top" wrapText="1"/>
    </xf>
    <xf numFmtId="0" fontId="0" fillId="5" borderId="10" applyNumberFormat="0" applyFont="1" applyFill="1" applyBorder="1" applyAlignment="1" applyProtection="0">
      <alignment vertical="top" wrapText="1"/>
    </xf>
    <xf numFmtId="0" fontId="0" fillId="4" borderId="27" applyNumberFormat="0" applyFont="1" applyFill="1" applyBorder="1" applyAlignment="1" applyProtection="0">
      <alignment vertical="bottom"/>
    </xf>
    <xf numFmtId="0" fontId="0" fillId="4" borderId="28" applyNumberFormat="0" applyFont="1" applyFill="1" applyBorder="1" applyAlignment="1" applyProtection="0">
      <alignment vertical="top"/>
    </xf>
    <xf numFmtId="0" fontId="0" fillId="4" borderId="28" applyNumberFormat="0" applyFont="1" applyFill="1" applyBorder="1" applyAlignment="1" applyProtection="0">
      <alignment vertical="bottom"/>
    </xf>
    <xf numFmtId="0" fontId="0" applyNumberFormat="1" applyFont="1" applyFill="0" applyBorder="0" applyAlignment="1" applyProtection="0">
      <alignment vertical="bottom"/>
    </xf>
    <xf numFmtId="0" fontId="19" fillId="10" borderId="15" applyNumberFormat="0" applyFont="1" applyFill="1" applyBorder="1" applyAlignment="1" applyProtection="0">
      <alignment vertical="bottom"/>
    </xf>
    <xf numFmtId="49" fontId="20" fillId="10" borderId="29" applyNumberFormat="1" applyFont="1" applyFill="1" applyBorder="1" applyAlignment="1" applyProtection="0">
      <alignment vertical="bottom" wrapText="1"/>
    </xf>
    <xf numFmtId="49" fontId="19" fillId="10" borderId="30" applyNumberFormat="1" applyFont="1" applyFill="1" applyBorder="1" applyAlignment="1" applyProtection="0">
      <alignment vertical="bottom" wrapText="1"/>
    </xf>
    <xf numFmtId="49" fontId="19" fillId="10" borderId="31" applyNumberFormat="1" applyFont="1" applyFill="1" applyBorder="1" applyAlignment="1" applyProtection="0">
      <alignment horizontal="left" vertical="bottom" wrapText="1"/>
    </xf>
    <xf numFmtId="49" fontId="19" fillId="10" borderId="30" applyNumberFormat="1" applyFont="1" applyFill="1" applyBorder="1" applyAlignment="1" applyProtection="0">
      <alignment horizontal="left" vertical="bottom" wrapText="1"/>
    </xf>
    <xf numFmtId="49" fontId="19" fillId="10" borderId="32" applyNumberFormat="1" applyFont="1" applyFill="1" applyBorder="1" applyAlignment="1" applyProtection="0">
      <alignment vertical="bottom" wrapText="1"/>
    </xf>
    <xf numFmtId="0" fontId="0" borderId="33" applyNumberFormat="0" applyFont="1" applyFill="0" applyBorder="1" applyAlignment="1" applyProtection="0">
      <alignment vertical="bottom"/>
    </xf>
    <xf numFmtId="0" fontId="21" fillId="5" borderId="34" applyNumberFormat="0" applyFont="1" applyFill="1" applyBorder="1" applyAlignment="1" applyProtection="0">
      <alignment horizontal="right" vertical="top"/>
    </xf>
    <xf numFmtId="0" fontId="0" fillId="11" borderId="15" applyNumberFormat="1" applyFont="1" applyFill="1" applyBorder="1" applyAlignment="1" applyProtection="0">
      <alignment vertical="bottom"/>
    </xf>
    <xf numFmtId="49" fontId="22" fillId="12" borderId="15" applyNumberFormat="1" applyFont="1" applyFill="1" applyBorder="1" applyAlignment="1" applyProtection="0">
      <alignment vertical="bottom" wrapText="1"/>
    </xf>
    <xf numFmtId="49" fontId="0" fillId="5" borderId="35" applyNumberFormat="1" applyFont="1" applyFill="1" applyBorder="1" applyAlignment="1" applyProtection="0">
      <alignment vertical="bottom" wrapText="1"/>
    </xf>
    <xf numFmtId="0" fontId="23" fillId="5" borderId="36" applyNumberFormat="1" applyFont="1" applyFill="1" applyBorder="1" applyAlignment="1" applyProtection="0">
      <alignment horizontal="left" vertical="top"/>
    </xf>
    <xf numFmtId="0" fontId="18" fillId="5" borderId="37" applyNumberFormat="0" applyFont="1" applyFill="1" applyBorder="1" applyAlignment="1" applyProtection="0">
      <alignment vertical="bottom" wrapText="1"/>
    </xf>
    <xf numFmtId="0" fontId="23" fillId="5" borderId="36" applyNumberFormat="0" applyFont="1" applyFill="1" applyBorder="1" applyAlignment="1" applyProtection="0">
      <alignment horizontal="left" vertical="top"/>
    </xf>
    <xf numFmtId="49" fontId="18" fillId="5" borderId="38" applyNumberFormat="1" applyFont="1" applyFill="1" applyBorder="1" applyAlignment="1" applyProtection="0">
      <alignment vertical="bottom" wrapText="1"/>
    </xf>
    <xf numFmtId="0" fontId="23" fillId="5" borderId="15" applyNumberFormat="1" applyFont="1" applyFill="1" applyBorder="1" applyAlignment="1" applyProtection="0">
      <alignment horizontal="left" vertical="bottom"/>
    </xf>
    <xf numFmtId="0" fontId="0" borderId="34" applyNumberFormat="0" applyFont="1" applyFill="0" applyBorder="1" applyAlignment="1" applyProtection="0">
      <alignment vertical="bottom"/>
    </xf>
    <xf numFmtId="59" fontId="0" borderId="34" applyNumberFormat="1" applyFont="1" applyFill="0" applyBorder="1" applyAlignment="1" applyProtection="0">
      <alignment vertical="bottom"/>
    </xf>
    <xf numFmtId="0" fontId="0" fillId="5" borderId="34" applyNumberFormat="0" applyFont="1" applyFill="1" applyBorder="1" applyAlignment="1" applyProtection="0">
      <alignment vertical="top"/>
    </xf>
    <xf numFmtId="49" fontId="18" fillId="5" borderId="37" applyNumberFormat="1" applyFont="1" applyFill="1" applyBorder="1" applyAlignment="1" applyProtection="0">
      <alignment vertical="bottom" wrapText="1"/>
    </xf>
    <xf numFmtId="0" fontId="0" fillId="11" borderId="39" applyNumberFormat="1" applyFont="1" applyFill="1" applyBorder="1" applyAlignment="1" applyProtection="0">
      <alignment vertical="bottom"/>
    </xf>
    <xf numFmtId="49" fontId="22" fillId="12" borderId="39" applyNumberFormat="1" applyFont="1" applyFill="1" applyBorder="1" applyAlignment="1" applyProtection="0">
      <alignment vertical="bottom" wrapText="1"/>
    </xf>
    <xf numFmtId="49" fontId="0" fillId="5" borderId="40" applyNumberFormat="1" applyFont="1" applyFill="1" applyBorder="1" applyAlignment="1" applyProtection="0">
      <alignment vertical="bottom" wrapText="1"/>
    </xf>
    <xf numFmtId="0" fontId="18" fillId="5" borderId="41" applyNumberFormat="0" applyFont="1" applyFill="1" applyBorder="1" applyAlignment="1" applyProtection="0">
      <alignment vertical="bottom" wrapText="1"/>
    </xf>
    <xf numFmtId="49" fontId="18" fillId="5" borderId="42" applyNumberFormat="1" applyFont="1" applyFill="1" applyBorder="1" applyAlignment="1" applyProtection="0">
      <alignment vertical="bottom" wrapText="1"/>
    </xf>
    <xf numFmtId="0" fontId="23" fillId="5" borderId="39" applyNumberFormat="1" applyFont="1" applyFill="1" applyBorder="1" applyAlignment="1" applyProtection="0">
      <alignment horizontal="left" vertical="bottom"/>
    </xf>
    <xf numFmtId="0" fontId="0" borderId="39" applyNumberFormat="1" applyFont="1" applyFill="0" applyBorder="1" applyAlignment="1" applyProtection="0">
      <alignment vertical="bottom"/>
    </xf>
    <xf numFmtId="0" fontId="0" borderId="43" applyNumberFormat="0" applyFont="1" applyFill="0" applyBorder="1" applyAlignment="1" applyProtection="0">
      <alignment vertical="bottom"/>
    </xf>
    <xf numFmtId="0" fontId="0" borderId="44" applyNumberFormat="0" applyFont="1" applyFill="0" applyBorder="1" applyAlignment="1" applyProtection="0">
      <alignment vertical="bottom"/>
    </xf>
    <xf numFmtId="0" fontId="15" fillId="11" borderId="45" applyNumberFormat="1" applyFont="1" applyFill="1" applyBorder="1" applyAlignment="1" applyProtection="0">
      <alignment vertical="bottom"/>
    </xf>
    <xf numFmtId="49" fontId="0" fillId="13" borderId="45" applyNumberFormat="1" applyFont="1" applyFill="1" applyBorder="1" applyAlignment="1" applyProtection="0">
      <alignment vertical="bottom" wrapText="1"/>
    </xf>
    <xf numFmtId="49" fontId="0" fillId="5" borderId="46" applyNumberFormat="1" applyFont="1" applyFill="1" applyBorder="1" applyAlignment="1" applyProtection="0">
      <alignment vertical="bottom" wrapText="1"/>
    </xf>
    <xf numFmtId="0" fontId="0" fillId="5" borderId="36" applyNumberFormat="1" applyFont="1" applyFill="1" applyBorder="1" applyAlignment="1" applyProtection="0">
      <alignment vertical="top"/>
    </xf>
    <xf numFmtId="0" fontId="0" fillId="5" borderId="47" applyNumberFormat="0" applyFont="1" applyFill="1" applyBorder="1" applyAlignment="1" applyProtection="0">
      <alignment vertical="bottom" wrapText="1"/>
    </xf>
    <xf numFmtId="49" fontId="0" fillId="5" borderId="48" applyNumberFormat="1" applyFont="1" applyFill="1" applyBorder="1" applyAlignment="1" applyProtection="0">
      <alignment vertical="bottom" wrapText="1"/>
    </xf>
    <xf numFmtId="0" fontId="0" fillId="5" borderId="45" applyNumberFormat="1" applyFont="1" applyFill="1" applyBorder="1" applyAlignment="1" applyProtection="0">
      <alignment vertical="bottom"/>
    </xf>
    <xf numFmtId="0" fontId="0" borderId="45" applyNumberFormat="1" applyFont="1" applyFill="0" applyBorder="1" applyAlignment="1" applyProtection="0">
      <alignment vertical="bottom"/>
    </xf>
    <xf numFmtId="0" fontId="15" borderId="45" applyNumberFormat="1" applyFont="1" applyFill="0" applyBorder="1" applyAlignment="1" applyProtection="0">
      <alignment vertical="bottom"/>
    </xf>
    <xf numFmtId="0" fontId="0" borderId="49" applyNumberFormat="0" applyFont="1" applyFill="0" applyBorder="1" applyAlignment="1" applyProtection="0">
      <alignment vertical="bottom"/>
    </xf>
    <xf numFmtId="0" fontId="0" borderId="50" applyNumberFormat="0" applyFont="1" applyFill="0" applyBorder="1" applyAlignment="1" applyProtection="0">
      <alignment vertical="bottom"/>
    </xf>
    <xf numFmtId="0" fontId="15" fillId="11" borderId="15" applyNumberFormat="1" applyFont="1" applyFill="1" applyBorder="1" applyAlignment="1" applyProtection="0">
      <alignment vertical="bottom"/>
    </xf>
    <xf numFmtId="49" fontId="0" fillId="13" borderId="15" applyNumberFormat="1" applyFont="1" applyFill="1" applyBorder="1" applyAlignment="1" applyProtection="0">
      <alignment vertical="bottom" wrapText="1"/>
    </xf>
    <xf numFmtId="0" fontId="0" fillId="5" borderId="37" applyNumberFormat="0" applyFont="1" applyFill="1" applyBorder="1" applyAlignment="1" applyProtection="0">
      <alignment vertical="bottom" wrapText="1"/>
    </xf>
    <xf numFmtId="49" fontId="0" fillId="5" borderId="38" applyNumberFormat="1" applyFont="1" applyFill="1" applyBorder="1" applyAlignment="1" applyProtection="0">
      <alignment vertical="bottom" wrapText="1"/>
    </xf>
    <xf numFmtId="0" fontId="0" fillId="5" borderId="15" applyNumberFormat="1" applyFont="1" applyFill="1" applyBorder="1" applyAlignment="1" applyProtection="0">
      <alignment vertical="bottom"/>
    </xf>
    <xf numFmtId="0" fontId="15" borderId="15" applyNumberFormat="1" applyFont="1" applyFill="0" applyBorder="1" applyAlignment="1" applyProtection="0">
      <alignment vertical="bottom"/>
    </xf>
    <xf numFmtId="0" fontId="0" fillId="5" borderId="15" applyNumberFormat="0" applyFont="1" applyFill="1" applyBorder="1" applyAlignment="1" applyProtection="0">
      <alignment vertical="bottom"/>
    </xf>
    <xf numFmtId="0" fontId="15" borderId="15" applyNumberFormat="0" applyFont="1" applyFill="0" applyBorder="1" applyAlignment="1" applyProtection="0">
      <alignment vertical="bottom"/>
    </xf>
    <xf numFmtId="0" fontId="15" fillId="11" borderId="39" applyNumberFormat="1" applyFont="1" applyFill="1" applyBorder="1" applyAlignment="1" applyProtection="0">
      <alignment vertical="bottom"/>
    </xf>
    <xf numFmtId="49" fontId="22" fillId="13" borderId="39" applyNumberFormat="1" applyFont="1" applyFill="1" applyBorder="1" applyAlignment="1" applyProtection="0">
      <alignment vertical="bottom" wrapText="1"/>
    </xf>
    <xf numFmtId="0" fontId="23" fillId="5" borderId="39" applyNumberFormat="0" applyFont="1" applyFill="1" applyBorder="1" applyAlignment="1" applyProtection="0">
      <alignment horizontal="left" vertical="bottom"/>
    </xf>
    <xf numFmtId="0" fontId="15" borderId="39" applyNumberFormat="0" applyFont="1" applyFill="0" applyBorder="1" applyAlignment="1" applyProtection="0">
      <alignment vertical="bottom"/>
    </xf>
    <xf numFmtId="49" fontId="0" fillId="14" borderId="45" applyNumberFormat="1" applyFont="1" applyFill="1" applyBorder="1" applyAlignment="1" applyProtection="0">
      <alignment vertical="bottom" wrapText="1"/>
    </xf>
    <xf numFmtId="0" fontId="0" fillId="5" borderId="45" applyNumberFormat="0" applyFont="1" applyFill="1" applyBorder="1" applyAlignment="1" applyProtection="0">
      <alignment vertical="bottom"/>
    </xf>
    <xf numFmtId="0" fontId="15" borderId="45" applyNumberFormat="0" applyFont="1" applyFill="0" applyBorder="1" applyAlignment="1" applyProtection="0">
      <alignment vertical="bottom"/>
    </xf>
    <xf numFmtId="49" fontId="0" fillId="14" borderId="15" applyNumberFormat="1" applyFont="1" applyFill="1" applyBorder="1" applyAlignment="1" applyProtection="0">
      <alignment vertical="bottom" wrapText="1"/>
    </xf>
    <xf numFmtId="49" fontId="22" fillId="14" borderId="39" applyNumberFormat="1" applyFont="1" applyFill="1" applyBorder="1" applyAlignment="1" applyProtection="0">
      <alignment vertical="bottom" wrapText="1"/>
    </xf>
    <xf numFmtId="49" fontId="0" fillId="6" borderId="45" applyNumberFormat="1" applyFont="1" applyFill="1" applyBorder="1" applyAlignment="1" applyProtection="0">
      <alignment vertical="bottom" wrapText="1"/>
    </xf>
    <xf numFmtId="49" fontId="0" fillId="6" borderId="15" applyNumberFormat="1" applyFont="1" applyFill="1" applyBorder="1" applyAlignment="1" applyProtection="0">
      <alignment vertical="bottom" wrapText="1"/>
    </xf>
    <xf numFmtId="49" fontId="22" fillId="6" borderId="39" applyNumberFormat="1" applyFont="1" applyFill="1" applyBorder="1" applyAlignment="1" applyProtection="0">
      <alignment vertical="bottom" wrapText="1"/>
    </xf>
    <xf numFmtId="49" fontId="0" fillId="15" borderId="45" applyNumberFormat="1" applyFont="1" applyFill="1" applyBorder="1" applyAlignment="1" applyProtection="0">
      <alignment vertical="bottom" wrapText="1"/>
    </xf>
    <xf numFmtId="49" fontId="0" fillId="15" borderId="15" applyNumberFormat="1" applyFont="1" applyFill="1" applyBorder="1" applyAlignment="1" applyProtection="0">
      <alignment vertical="bottom" wrapText="1"/>
    </xf>
    <xf numFmtId="49" fontId="22" fillId="15" borderId="15" applyNumberFormat="1" applyFont="1" applyFill="1" applyBorder="1" applyAlignment="1" applyProtection="0">
      <alignment vertical="bottom" wrapText="1"/>
    </xf>
    <xf numFmtId="0" fontId="0" fillId="11" borderId="15" applyNumberFormat="0" applyFont="1" applyFill="1" applyBorder="1" applyAlignment="1" applyProtection="0">
      <alignment vertical="bottom"/>
    </xf>
    <xf numFmtId="0" fontId="0" fillId="5" borderId="51" applyNumberFormat="0" applyFont="1" applyFill="1" applyBorder="1" applyAlignment="1" applyProtection="0">
      <alignment vertical="bottom" wrapText="1"/>
    </xf>
    <xf numFmtId="0" fontId="0" fillId="5" borderId="52" applyNumberFormat="0" applyFont="1" applyFill="1" applyBorder="1" applyAlignment="1" applyProtection="0">
      <alignment vertical="bottom" wrapText="1"/>
    </xf>
    <xf numFmtId="0" fontId="0" fillId="5" borderId="53" applyNumberFormat="0" applyFont="1" applyFill="1" applyBorder="1" applyAlignment="1" applyProtection="0">
      <alignment vertical="bottom"/>
    </xf>
    <xf numFmtId="0" fontId="0" fillId="5" borderId="53" applyNumberFormat="0" applyFont="1" applyFill="1" applyBorder="1" applyAlignment="1" applyProtection="0">
      <alignment vertical="bottom" wrapText="1"/>
    </xf>
    <xf numFmtId="0" fontId="0" fillId="5" borderId="52" applyNumberFormat="0" applyFont="1" applyFill="1" applyBorder="1" applyAlignment="1" applyProtection="0">
      <alignment vertical="bottom"/>
    </xf>
    <xf numFmtId="0" fontId="0" borderId="52" applyNumberFormat="0" applyFont="1" applyFill="0" applyBorder="1" applyAlignment="1" applyProtection="0">
      <alignment vertical="bottom"/>
    </xf>
    <xf numFmtId="0" fontId="0" fillId="5" borderId="33" applyNumberFormat="0" applyFont="1" applyFill="1" applyBorder="1" applyAlignment="1" applyProtection="0">
      <alignment vertical="bottom" wrapText="1"/>
    </xf>
    <xf numFmtId="0" fontId="0" fillId="5" borderId="34" applyNumberFormat="0" applyFont="1" applyFill="1" applyBorder="1" applyAlignment="1" applyProtection="0">
      <alignment vertical="bottom" wrapText="1"/>
    </xf>
    <xf numFmtId="0" fontId="0" fillId="5" borderId="34" applyNumberFormat="0" applyFont="1" applyFill="1" applyBorder="1" applyAlignment="1" applyProtection="0">
      <alignment vertical="bottom"/>
    </xf>
    <xf numFmtId="0" fontId="0" fillId="5" borderId="54" applyNumberFormat="0" applyFont="1" applyFill="1" applyBorder="1" applyAlignment="1" applyProtection="0">
      <alignment vertical="bottom" wrapText="1"/>
    </xf>
    <xf numFmtId="0" fontId="0" fillId="5" borderId="55" applyNumberFormat="0" applyFont="1" applyFill="1" applyBorder="1" applyAlignment="1" applyProtection="0">
      <alignment vertical="bottom" wrapText="1"/>
    </xf>
    <xf numFmtId="0" fontId="0" fillId="5" borderId="36" applyNumberFormat="0" applyFont="1" applyFill="1" applyBorder="1" applyAlignment="1" applyProtection="0">
      <alignment vertical="bottom" wrapText="1"/>
    </xf>
    <xf numFmtId="0" fontId="0" fillId="5" borderId="56" applyNumberFormat="0" applyFont="1" applyFill="1" applyBorder="1" applyAlignment="1" applyProtection="0">
      <alignment vertical="bottom"/>
    </xf>
    <xf numFmtId="0" fontId="0" applyNumberFormat="1" applyFont="1" applyFill="0" applyBorder="0" applyAlignment="1" applyProtection="0">
      <alignment vertical="bottom"/>
    </xf>
    <xf numFmtId="0" fontId="0" fillId="16" borderId="57" applyNumberFormat="0" applyFont="1" applyFill="1" applyBorder="1" applyAlignment="1" applyProtection="0">
      <alignment vertical="bottom"/>
    </xf>
    <xf numFmtId="49" fontId="15" fillId="17" borderId="15" applyNumberFormat="1" applyFont="1" applyFill="1" applyBorder="1" applyAlignment="1" applyProtection="0">
      <alignment vertical="bottom"/>
    </xf>
    <xf numFmtId="0" fontId="0" fillId="17" borderId="15" applyNumberFormat="0" applyFont="1" applyFill="1" applyBorder="1" applyAlignment="1" applyProtection="0">
      <alignment vertical="bottom"/>
    </xf>
    <xf numFmtId="0" fontId="0" fillId="16" borderId="14" applyNumberFormat="0" applyFont="1" applyFill="1" applyBorder="1" applyAlignment="1" applyProtection="0">
      <alignment vertical="bottom"/>
    </xf>
    <xf numFmtId="9" fontId="18" borderId="15" applyNumberFormat="1" applyFont="1" applyFill="0" applyBorder="1" applyAlignment="1" applyProtection="0">
      <alignment vertical="bottom"/>
    </xf>
    <xf numFmtId="60" fontId="18" borderId="15" applyNumberFormat="1" applyFont="1" applyFill="0" applyBorder="1" applyAlignment="1" applyProtection="0">
      <alignment vertical="bottom"/>
    </xf>
    <xf numFmtId="49" fontId="0" borderId="15" applyNumberFormat="1" applyFont="1" applyFill="0" applyBorder="1" applyAlignment="1" applyProtection="0">
      <alignment vertical="bottom"/>
    </xf>
    <xf numFmtId="0" fontId="0" borderId="34" applyNumberFormat="1" applyFont="1" applyFill="0" applyBorder="1" applyAlignment="1" applyProtection="0">
      <alignment vertical="bottom"/>
    </xf>
    <xf numFmtId="0" fontId="0" fillId="16" borderId="8" applyNumberFormat="0" applyFont="1" applyFill="1" applyBorder="1" applyAlignment="1" applyProtection="0">
      <alignment vertical="bottom"/>
    </xf>
    <xf numFmtId="0" fontId="0" borderId="58" applyNumberFormat="0" applyFont="1" applyFill="0" applyBorder="1" applyAlignment="1" applyProtection="0">
      <alignment vertical="bottom"/>
    </xf>
    <xf numFmtId="9" fontId="18" borderId="52" applyNumberFormat="1" applyFont="1" applyFill="0" applyBorder="1" applyAlignment="1" applyProtection="0">
      <alignment vertical="bottom"/>
    </xf>
    <xf numFmtId="0" fontId="0" fillId="16" borderId="27" applyNumberFormat="0" applyFont="1" applyFill="1" applyBorder="1" applyAlignment="1" applyProtection="0">
      <alignment vertical="bottom"/>
    </xf>
    <xf numFmtId="0" fontId="15" borderId="4" applyNumberFormat="0" applyFont="1" applyFill="0" applyBorder="1" applyAlignment="1" applyProtection="0">
      <alignment vertical="bottom"/>
    </xf>
  </cellXfs>
  <cellStyles count="1">
    <cellStyle name="Normal" xfId="0" builtinId="0"/>
  </cellStyles>
  <dxfs count="3">
    <dxf>
      <fill>
        <patternFill patternType="solid">
          <fgColor indexed="23"/>
          <bgColor indexed="24"/>
        </patternFill>
      </fill>
    </dxf>
    <dxf>
      <fill>
        <patternFill patternType="solid">
          <fgColor indexed="23"/>
          <bgColor indexed="27"/>
        </patternFill>
      </fill>
    </dxf>
    <dxf>
      <fill>
        <patternFill patternType="solid">
          <fgColor indexed="23"/>
          <bgColor indexed="24"/>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3b608d"/>
      <rgbColor rgb="ffaaaaaa"/>
      <rgbColor rgb="ffa5a5a5"/>
      <rgbColor rgb="ff0070c0"/>
      <rgbColor rgb="fffde9d9"/>
      <rgbColor rgb="ffd8d8d8"/>
      <rgbColor rgb="ffff0000"/>
      <rgbColor rgb="ffffffcc"/>
      <rgbColor rgb="ffffc000"/>
      <rgbColor rgb="ff002060"/>
      <rgbColor rgb="00000000"/>
      <rgbColor rgb="ffd6e3bc"/>
      <rgbColor rgb="ffbfbfbf"/>
      <rgbColor rgb="ffd6d4ca"/>
      <rgbColor rgb="ffffbdbd"/>
      <rgbColor rgb="ffe5dfec"/>
      <rgbColor rgb="ffdaeef3"/>
      <rgbColor rgb="ffd2dae4"/>
      <rgbColor rgb="ff7f7f7f"/>
      <rgbColor rgb="ffffff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mailto:drwzqc@inf.elte.hu"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17</v>
      </c>
      <c r="C11" s="3"/>
      <c r="D11" s="3"/>
    </row>
    <row r="12">
      <c r="B12" s="4"/>
      <c r="C12" t="s" s="4">
        <v>5</v>
      </c>
      <c r="D12" t="s" s="5">
        <v>17</v>
      </c>
    </row>
    <row r="13">
      <c r="B13" t="s" s="3">
        <v>106</v>
      </c>
      <c r="C13" s="3"/>
      <c r="D13" s="3"/>
    </row>
    <row r="14">
      <c r="B14" s="4"/>
      <c r="C14" t="s" s="4">
        <v>5</v>
      </c>
      <c r="D14" t="s" s="5">
        <v>106</v>
      </c>
    </row>
  </sheetData>
  <mergeCells count="1">
    <mergeCell ref="B3:D3"/>
  </mergeCells>
  <hyperlinks>
    <hyperlink ref="D10" location="'Fedőlap'!R1C1" tooltip="" display="Fedőlap"/>
    <hyperlink ref="D12" location="'Irányelvek'!R1C1" tooltip="" display="Irányelvek"/>
    <hyperlink ref="D14" location="'Ponthatárok'!R1C1" tooltip="" display="Ponthatárok"/>
  </hyperlinks>
</worksheet>
</file>

<file path=xl/worksheets/sheet2.xml><?xml version="1.0" encoding="utf-8"?>
<worksheet xmlns:r="http://schemas.openxmlformats.org/officeDocument/2006/relationships" xmlns="http://schemas.openxmlformats.org/spreadsheetml/2006/main">
  <dimension ref="A1:J30"/>
  <sheetViews>
    <sheetView workbookViewId="0" showGridLines="0" defaultGridColor="1"/>
  </sheetViews>
  <sheetFormatPr defaultColWidth="8.83333" defaultRowHeight="15" customHeight="1" outlineLevelRow="0" outlineLevelCol="0"/>
  <cols>
    <col min="1" max="1" width="4.35156" style="6" customWidth="1"/>
    <col min="2" max="2" width="26.8516" style="6" customWidth="1"/>
    <col min="3" max="3" width="39.8516" style="6" customWidth="1"/>
    <col min="4" max="4" width="14.8516" style="6" customWidth="1"/>
    <col min="5" max="5" width="4.17188" style="6" customWidth="1"/>
    <col min="6" max="6" width="40.6719" style="6" customWidth="1"/>
    <col min="7" max="7" width="8.85156" style="6" customWidth="1"/>
    <col min="8" max="8" width="6.17188" style="6" customWidth="1"/>
    <col min="9" max="9" width="4.5" style="6" customWidth="1"/>
    <col min="10" max="10" width="19" style="6" customWidth="1"/>
    <col min="11" max="16384" width="8.85156" style="6" customWidth="1"/>
  </cols>
  <sheetData>
    <row r="1" ht="32.25" customHeight="1">
      <c r="A1" s="7"/>
      <c r="B1" t="s" s="8">
        <v>6</v>
      </c>
      <c r="C1" s="9"/>
      <c r="D1" s="9"/>
      <c r="E1" s="9"/>
      <c r="F1" s="9"/>
      <c r="G1" s="9"/>
      <c r="H1" s="9"/>
      <c r="I1" s="10"/>
      <c r="J1" t="s" s="11">
        <v>7</v>
      </c>
    </row>
    <row r="2" ht="23.25" customHeight="1">
      <c r="A2" s="12"/>
      <c r="B2" t="s" s="13">
        <v>8</v>
      </c>
      <c r="C2" t="s" s="14">
        <v>9</v>
      </c>
      <c r="D2" s="15"/>
      <c r="E2" s="15"/>
      <c r="F2" s="15"/>
      <c r="G2" s="15"/>
      <c r="H2" s="15"/>
      <c r="I2" s="16"/>
      <c r="J2" s="17"/>
    </row>
    <row r="3" ht="23.25" customHeight="1">
      <c r="A3" s="12"/>
      <c r="B3" t="s" s="13">
        <v>10</v>
      </c>
      <c r="C3" t="s" s="14">
        <v>11</v>
      </c>
      <c r="D3" s="15"/>
      <c r="E3" s="15"/>
      <c r="F3" s="15"/>
      <c r="G3" s="15"/>
      <c r="H3" s="15"/>
      <c r="I3" s="16"/>
      <c r="J3" s="17"/>
    </row>
    <row r="4" ht="23.25" customHeight="1">
      <c r="A4" s="12"/>
      <c r="B4" t="s" s="13">
        <v>12</v>
      </c>
      <c r="C4" t="s" s="14">
        <v>13</v>
      </c>
      <c r="D4" s="15"/>
      <c r="E4" s="15"/>
      <c r="F4" s="15"/>
      <c r="G4" s="15"/>
      <c r="H4" s="15"/>
      <c r="I4" s="16"/>
      <c r="J4" s="17"/>
    </row>
    <row r="5" ht="37.5" customHeight="1">
      <c r="A5" s="18"/>
      <c r="B5" t="s" s="19">
        <v>14</v>
      </c>
      <c r="C5" s="20"/>
      <c r="D5" s="20"/>
      <c r="E5" s="20"/>
      <c r="F5" s="20"/>
      <c r="G5" s="20"/>
      <c r="H5" s="20"/>
      <c r="I5" s="21"/>
      <c r="J5" s="17"/>
    </row>
    <row r="6" ht="49.5" customHeight="1">
      <c r="A6" s="18"/>
      <c r="B6" t="s" s="22">
        <v>15</v>
      </c>
      <c r="C6" s="23"/>
      <c r="D6" s="24"/>
      <c r="E6" s="24"/>
      <c r="F6" s="24"/>
      <c r="G6" s="24"/>
      <c r="H6" s="25"/>
      <c r="I6" s="21"/>
      <c r="J6" s="17"/>
    </row>
    <row r="7" ht="61.5" customHeight="1">
      <c r="A7" s="18"/>
      <c r="B7" t="str" s="26" cm="1">
        <f t="array" ref="B7">CONCATENATE("Az irányelvek között vannak kiemelt (sárga háttérszínnel és félkövér kiemeléssel jelölt) elvek , amelyek betartására kiemelten figyelni kell! Az elégséges szinthez legalább ",D12," pontot el kell érni. A hallgatói és tutori értékelés tekintetében, maximum 15 darab irányelvben lehet eltérés, ennél több esetén már nem tudjuk elfogadni a feladatot.")</f>
        <v>Az irányelvek között vannak kiemelt (sárga háttérszínnel és félkövér kiemeléssel jelölt) elvek , amelyek betartására kiemelten figyelni kell! Az elégséges szinthez legalább 50 pontot el kell érni. A hallgatói és tutori értékelés tekintetében, maximum 15 darab irányelvben lehet eltérés, ennél több esetén már nem tudjuk elfogadni a feladatot.</v>
      </c>
      <c r="C7" s="27"/>
      <c r="D7" s="27"/>
      <c r="E7" s="27"/>
      <c r="F7" s="27"/>
      <c r="G7" s="27"/>
      <c r="H7" s="27"/>
      <c r="I7" s="21"/>
      <c r="J7" s="17"/>
    </row>
    <row r="8" ht="15" customHeight="1">
      <c r="A8" s="18"/>
      <c r="B8" s="28"/>
      <c r="C8" s="28"/>
      <c r="D8" s="28"/>
      <c r="E8" s="28"/>
      <c r="F8" s="28"/>
      <c r="G8" s="28"/>
      <c r="H8" s="28"/>
      <c r="I8" s="21"/>
      <c r="J8" s="17"/>
    </row>
    <row r="9" ht="15" customHeight="1">
      <c r="A9" s="18"/>
      <c r="B9" t="s" s="29">
        <v>17</v>
      </c>
      <c r="C9" s="30"/>
      <c r="D9" s="30"/>
      <c r="E9" s="28"/>
      <c r="F9" s="30"/>
      <c r="G9" s="30"/>
      <c r="H9" s="30"/>
      <c r="I9" s="21"/>
      <c r="J9" s="17"/>
    </row>
    <row r="10" ht="15" customHeight="1">
      <c r="A10" s="31"/>
      <c r="B10" t="s" s="32">
        <v>18</v>
      </c>
      <c r="C10" s="33"/>
      <c r="D10" s="34" cm="1">
        <f t="array" ref="D10">COUNTA('Irányelvek'!B1:B51)-1</f>
        <v>46</v>
      </c>
      <c r="E10" s="35"/>
      <c r="F10" t="s" s="36">
        <v>19</v>
      </c>
      <c r="G10" s="37"/>
      <c r="H10" s="37"/>
      <c r="I10" s="38"/>
      <c r="J10" s="17"/>
    </row>
    <row r="11" ht="15" customHeight="1">
      <c r="A11" s="31"/>
      <c r="B11" t="s" s="32">
        <v>20</v>
      </c>
      <c r="C11" s="33"/>
      <c r="D11" s="34" cm="1">
        <f t="array" ref="D11">SUM('Irányelvek'!I1:I51)</f>
        <v>100</v>
      </c>
      <c r="E11" s="35"/>
      <c r="F11" s="39"/>
      <c r="G11" s="39"/>
      <c r="H11" s="39"/>
      <c r="I11" s="38"/>
      <c r="J11" s="17"/>
    </row>
    <row r="12" ht="35.45" customHeight="1">
      <c r="A12" s="31"/>
      <c r="B12" t="s" s="32">
        <v>21</v>
      </c>
      <c r="C12" s="33"/>
      <c r="D12" s="34">
        <v>50</v>
      </c>
      <c r="E12" s="35"/>
      <c r="F12" s="39"/>
      <c r="G12" s="39"/>
      <c r="H12" s="39"/>
      <c r="I12" s="38"/>
      <c r="J12" s="17"/>
    </row>
    <row r="13" ht="15" customHeight="1">
      <c r="A13" s="18"/>
      <c r="B13" t="s" s="40">
        <v>22</v>
      </c>
      <c r="C13" s="41"/>
      <c r="D13" s="41"/>
      <c r="E13" s="28"/>
      <c r="F13" s="42"/>
      <c r="G13" s="42"/>
      <c r="H13" s="42"/>
      <c r="I13" s="21"/>
      <c r="J13" s="17"/>
    </row>
    <row r="14" ht="15" customHeight="1">
      <c r="A14" s="31"/>
      <c r="B14" t="s" s="32">
        <v>23</v>
      </c>
      <c r="C14" s="33"/>
      <c r="D14" t="b" s="34" cm="1">
        <f t="array" ref="D14">IF(_xlfn.COUNTIFS('Irányelvek'!D2:D47,"=1",'Irányelvek'!H2:H47,"=igaz")=19,TRUE,FALSE)</f>
        <v>0</v>
      </c>
      <c r="E14" s="43"/>
      <c r="F14" s="30"/>
      <c r="G14" s="30"/>
      <c r="H14" s="30"/>
      <c r="I14" s="21"/>
      <c r="J14" s="17"/>
    </row>
    <row r="15" ht="31.5" customHeight="1">
      <c r="A15" s="31"/>
      <c r="B15" t="s" s="32">
        <v>24</v>
      </c>
      <c r="C15" s="33"/>
      <c r="D15" s="44" cm="1">
        <f t="array" ref="D15">SUM('Irányelvek'!J2:J47)</f>
        <v>95</v>
      </c>
      <c r="E15" s="35"/>
      <c r="F15" t="str" s="45" cm="1">
        <f t="array" ref="F15">CONCATENATE("Ha a feladatot önállóan értékelnénk, akkor az önértékelésed alapján ",VLOOKUP(D15,'Ponthatárok'!$C$3:$D$7,2,TRUE),"  érdemjegyet kapnál rá.")</f>
        <v>Ha a feladatot önállóan értékelnénk, akkor az önértékelésed alapján jeles  érdemjegyet kapnál rá.</v>
      </c>
      <c r="G15" s="45"/>
      <c r="H15" s="45"/>
      <c r="I15" s="38"/>
      <c r="J15" s="17"/>
    </row>
    <row r="16" ht="15.75" customHeight="1">
      <c r="A16" s="18"/>
      <c r="B16" t="s" s="40">
        <v>26</v>
      </c>
      <c r="C16" s="41"/>
      <c r="D16" s="41"/>
      <c r="E16" s="28"/>
      <c r="F16" s="46"/>
      <c r="G16" s="46"/>
      <c r="H16" s="46"/>
      <c r="I16" s="21"/>
      <c r="J16" s="17"/>
    </row>
    <row r="17" ht="15.75" customHeight="1">
      <c r="A17" s="31"/>
      <c r="B17" t="s" s="32">
        <v>27</v>
      </c>
      <c r="C17" s="33"/>
      <c r="D17" t="str" s="47" cm="1">
        <f t="array" ref="D17">IF(D26=TRUE,IF(_xlfn.COUNTIFS('Irányelvek'!F2:F47,"=1",'Irányelvek'!H2:H47,"=igaz")=19,TRUE,FALSE),"Még nincs adat.")</f>
        <v>Még nincs adat.</v>
      </c>
      <c r="E17" s="35"/>
      <c r="F17" t="s" s="48">
        <v>29</v>
      </c>
      <c r="G17" s="49"/>
      <c r="H17" s="50"/>
      <c r="I17" s="38"/>
      <c r="J17" s="17"/>
    </row>
    <row r="18" ht="31.5" customHeight="1">
      <c r="A18" s="31"/>
      <c r="B18" t="s" s="32">
        <v>30</v>
      </c>
      <c r="C18" s="33"/>
      <c r="D18" t="str" s="51" cm="1">
        <f t="array" ref="D18">IF(D26=TRUE,SUM('Irányelvek'!K2:K47),"Még nincs adat.")</f>
        <v>Még nincs adat.</v>
      </c>
      <c r="E18" s="35"/>
      <c r="F18" s="52"/>
      <c r="G18" s="53"/>
      <c r="H18" s="54"/>
      <c r="I18" s="38"/>
      <c r="J18" s="17"/>
    </row>
    <row r="19" ht="31.5" customHeight="1">
      <c r="A19" s="31"/>
      <c r="B19" t="s" s="32">
        <v>31</v>
      </c>
      <c r="C19" s="33"/>
      <c r="D19" t="str" s="51" cm="1">
        <f t="array" ref="D19">IF(D26=TRUE,D18+D27,"Még nincs adat.")</f>
        <v>Még nincs adat.</v>
      </c>
      <c r="E19" s="35"/>
      <c r="F19" s="55"/>
      <c r="G19" s="56"/>
      <c r="H19" s="57"/>
      <c r="I19" s="38"/>
      <c r="J19" s="17"/>
    </row>
    <row r="20" ht="21" customHeight="1">
      <c r="A20" s="18"/>
      <c r="B20" t="s" s="40">
        <v>32</v>
      </c>
      <c r="C20" s="46"/>
      <c r="D20" s="46"/>
      <c r="E20" s="28"/>
      <c r="F20" s="46"/>
      <c r="G20" s="46"/>
      <c r="H20" s="46"/>
      <c r="I20" s="21"/>
      <c r="J20" s="17"/>
    </row>
    <row r="21" ht="13.55" customHeight="1">
      <c r="A21" s="31"/>
      <c r="B21" t="s" s="32">
        <v>33</v>
      </c>
      <c r="C21" s="33"/>
      <c r="D21" s="58">
        <v>20</v>
      </c>
      <c r="E21" s="35"/>
      <c r="F21" t="s" s="59">
        <v>29</v>
      </c>
      <c r="G21" s="60"/>
      <c r="H21" s="60"/>
      <c r="I21" s="38"/>
      <c r="J21" s="17"/>
    </row>
    <row r="22" ht="15" customHeight="1">
      <c r="A22" s="31"/>
      <c r="B22" t="s" s="32">
        <v>34</v>
      </c>
      <c r="C22" s="33"/>
      <c r="D22" s="58">
        <v>10</v>
      </c>
      <c r="E22" s="35"/>
      <c r="F22" s="60"/>
      <c r="G22" s="60"/>
      <c r="H22" s="60"/>
      <c r="I22" s="38"/>
      <c r="J22" s="17"/>
    </row>
    <row r="23" ht="36.75" customHeight="1">
      <c r="A23" s="31"/>
      <c r="B23" t="s" s="61">
        <v>35</v>
      </c>
      <c r="C23" s="33"/>
      <c r="D23" t="str" s="33" cm="1">
        <f t="array" ref="D23">IF(D26=TRUE,SUM('Irányelvek'!L2:L47),"Még nincs adat.")</f>
        <v>Még nincs adat.</v>
      </c>
      <c r="E23" s="35"/>
      <c r="F23" s="60"/>
      <c r="G23" s="60"/>
      <c r="H23" s="60"/>
      <c r="I23" s="38"/>
      <c r="J23" s="17"/>
    </row>
    <row r="24" ht="35.25" customHeight="1">
      <c r="A24" s="31"/>
      <c r="B24" t="s" s="32">
        <v>36</v>
      </c>
      <c r="C24" s="33"/>
      <c r="D24" t="str" s="51" cm="1">
        <f t="array" ref="D24">IF(D26,IF(ROUNDUP(20-0.71*D23,0)&gt;0,ROUNDUP(20-0.71*D23,0),0),"Még nincs adat.")</f>
        <v>Még nincs adat.</v>
      </c>
      <c r="E24" s="35"/>
      <c r="F24" s="60"/>
      <c r="G24" s="60"/>
      <c r="H24" s="60"/>
      <c r="I24" s="38"/>
      <c r="J24" s="17"/>
    </row>
    <row r="25" ht="15" customHeight="1">
      <c r="A25" s="18"/>
      <c r="B25" s="62"/>
      <c r="C25" s="62"/>
      <c r="D25" s="62"/>
      <c r="E25" s="63"/>
      <c r="F25" s="64"/>
      <c r="G25" s="64"/>
      <c r="H25" s="64"/>
      <c r="I25" s="21"/>
      <c r="J25" s="17"/>
    </row>
    <row r="26" ht="20.25" customHeight="1">
      <c r="A26" s="31"/>
      <c r="B26" t="s" s="32">
        <v>37</v>
      </c>
      <c r="C26" s="33"/>
      <c r="D26" t="b" s="65">
        <v>0</v>
      </c>
      <c r="E26" s="66"/>
      <c r="F26" s="63"/>
      <c r="G26" s="63"/>
      <c r="H26" s="63"/>
      <c r="I26" s="21"/>
      <c r="J26" s="17"/>
    </row>
    <row r="27" ht="48" customHeight="1">
      <c r="A27" s="31"/>
      <c r="B27" t="s" s="67">
        <v>38</v>
      </c>
      <c r="C27" s="68"/>
      <c r="D27" s="69"/>
      <c r="E27" s="66"/>
      <c r="F27" s="63"/>
      <c r="G27" s="63"/>
      <c r="H27" s="63"/>
      <c r="I27" s="21"/>
      <c r="J27" s="17"/>
    </row>
    <row r="28" ht="13.55" customHeight="1">
      <c r="A28" s="18"/>
      <c r="B28" t="s" s="70">
        <v>39</v>
      </c>
      <c r="C28" s="71"/>
      <c r="D28" s="64"/>
      <c r="E28" s="63"/>
      <c r="F28" s="63"/>
      <c r="G28" s="63"/>
      <c r="H28" s="63"/>
      <c r="I28" s="21"/>
      <c r="J28" s="17"/>
    </row>
    <row r="29" ht="105" customHeight="1">
      <c r="A29" s="18"/>
      <c r="B29" s="72"/>
      <c r="C29" s="72"/>
      <c r="D29" s="72"/>
      <c r="E29" s="72"/>
      <c r="F29" s="72"/>
      <c r="G29" s="72"/>
      <c r="H29" s="72"/>
      <c r="I29" s="21"/>
      <c r="J29" s="17"/>
    </row>
    <row r="30" ht="15" customHeight="1">
      <c r="A30" s="73"/>
      <c r="B30" s="74"/>
      <c r="C30" s="74"/>
      <c r="D30" s="74"/>
      <c r="E30" s="74"/>
      <c r="F30" s="74"/>
      <c r="G30" s="74"/>
      <c r="H30" s="74"/>
      <c r="I30" s="75"/>
      <c r="J30" s="17"/>
    </row>
  </sheetData>
  <mergeCells count="27">
    <mergeCell ref="B29:H29"/>
    <mergeCell ref="B26:C26"/>
    <mergeCell ref="B24:C24"/>
    <mergeCell ref="B6:H6"/>
    <mergeCell ref="B7:H7"/>
    <mergeCell ref="B10:C10"/>
    <mergeCell ref="B18:C18"/>
    <mergeCell ref="B23:C23"/>
    <mergeCell ref="B17:C17"/>
    <mergeCell ref="F21:H24"/>
    <mergeCell ref="F17:H19"/>
    <mergeCell ref="B1:H1"/>
    <mergeCell ref="B28:C28"/>
    <mergeCell ref="B12:C12"/>
    <mergeCell ref="F15:H15"/>
    <mergeCell ref="C2:H2"/>
    <mergeCell ref="C3:H3"/>
    <mergeCell ref="C4:H4"/>
    <mergeCell ref="B15:C15"/>
    <mergeCell ref="B21:C21"/>
    <mergeCell ref="F10:H12"/>
    <mergeCell ref="B5:H5"/>
    <mergeCell ref="B11:C11"/>
    <mergeCell ref="B14:C14"/>
    <mergeCell ref="B22:C22"/>
    <mergeCell ref="B27:C27"/>
    <mergeCell ref="B19:C19"/>
  </mergeCells>
  <hyperlinks>
    <hyperlink ref="C4" r:id="rId1" location="" tooltip="" display="drwzqc@inf.elte.hu"/>
    <hyperlink ref="B6" location="'Irányelvek'!R1C1" tooltip="" display="Az irányelvek megtekintése és az adatlap kitöltése"/>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N51"/>
  <sheetViews>
    <sheetView workbookViewId="0" showGridLines="0" defaultGridColor="1"/>
  </sheetViews>
  <sheetFormatPr defaultColWidth="8.83333" defaultRowHeight="15" customHeight="1" outlineLevelRow="0" outlineLevelCol="0"/>
  <cols>
    <col min="1" max="1" width="3.17188" style="76" customWidth="1"/>
    <col min="2" max="2" width="15.8516" style="76" customWidth="1"/>
    <col min="3" max="3" width="54.1719" style="76" customWidth="1"/>
    <col min="4" max="4" width="11.5" style="76" customWidth="1"/>
    <col min="5" max="5" width="24.6719" style="76" customWidth="1"/>
    <col min="6" max="6" width="10.5" style="76" customWidth="1"/>
    <col min="7" max="7" width="22.5" style="76" customWidth="1"/>
    <col min="8" max="8" width="9.85156" style="76" customWidth="1"/>
    <col min="9" max="10" width="9.17188" style="76" customWidth="1"/>
    <col min="11" max="12" width="10.8516" style="76" customWidth="1"/>
    <col min="13" max="13" width="11.6719" style="76" customWidth="1"/>
    <col min="14" max="14" width="9.67188" style="76" customWidth="1"/>
    <col min="15" max="16384" width="8.85156" style="76" customWidth="1"/>
  </cols>
  <sheetData>
    <row r="1" ht="84" customHeight="1">
      <c r="A1" s="77"/>
      <c r="B1" t="s" s="78">
        <v>40</v>
      </c>
      <c r="C1" t="s" s="79">
        <v>41</v>
      </c>
      <c r="D1" t="s" s="80">
        <v>42</v>
      </c>
      <c r="E1" t="s" s="79">
        <v>43</v>
      </c>
      <c r="F1" t="s" s="80">
        <v>44</v>
      </c>
      <c r="G1" t="s" s="79">
        <v>45</v>
      </c>
      <c r="H1" t="s" s="81">
        <v>46</v>
      </c>
      <c r="I1" t="s" s="79">
        <v>47</v>
      </c>
      <c r="J1" t="s" s="79">
        <v>48</v>
      </c>
      <c r="K1" t="s" s="79">
        <v>49</v>
      </c>
      <c r="L1" t="s" s="82">
        <v>50</v>
      </c>
      <c r="M1" s="83"/>
      <c r="N1" s="84"/>
    </row>
    <row r="2" ht="79.5" customHeight="1">
      <c r="A2" s="85">
        <v>1</v>
      </c>
      <c r="B2" t="s" s="86">
        <v>51</v>
      </c>
      <c r="C2" t="s" s="87">
        <v>52</v>
      </c>
      <c r="D2" s="88">
        <v>1</v>
      </c>
      <c r="E2" s="89"/>
      <c r="F2" s="90"/>
      <c r="G2" s="91"/>
      <c r="H2" t="b" s="92">
        <v>1</v>
      </c>
      <c r="I2" s="34">
        <v>3</v>
      </c>
      <c r="J2" s="34" cm="1">
        <f t="array" ref="J2">IF(D2=1,I2,IF(H2=TRUE,-5,""))</f>
        <v>3</v>
      </c>
      <c r="K2" s="34" cm="1">
        <f t="array" ref="K2">IF(F2=1,I2,IF(H2=TRUE,-5,""))</f>
        <v>-5</v>
      </c>
      <c r="L2" s="34" cm="1">
        <f t="array" ref="L2">IF(J2=K2,0,1)</f>
        <v>1</v>
      </c>
      <c r="M2" s="83"/>
      <c r="N2" s="93"/>
    </row>
    <row r="3" ht="50.25" customHeight="1">
      <c r="A3" s="85" cm="1">
        <f t="array" ref="A3">A2+1</f>
        <v>2</v>
      </c>
      <c r="B3" t="s" s="86">
        <v>51</v>
      </c>
      <c r="C3" t="s" s="87">
        <v>53</v>
      </c>
      <c r="D3" s="88">
        <v>1</v>
      </c>
      <c r="E3" s="89"/>
      <c r="F3" s="90"/>
      <c r="G3" s="91"/>
      <c r="H3" t="b" s="92">
        <v>1</v>
      </c>
      <c r="I3" s="34">
        <v>2</v>
      </c>
      <c r="J3" s="34" cm="1">
        <f t="array" ref="J3">IF(D3=1,I3,IF(H3=TRUE,-5,""))</f>
        <v>2</v>
      </c>
      <c r="K3" s="34" cm="1">
        <f t="array" ref="K3">IF(F3=1,I3,IF(H3=TRUE,-5,""))</f>
        <v>-5</v>
      </c>
      <c r="L3" s="34" cm="1">
        <f t="array" ref="L3">IF(J3=K3,0,1)</f>
        <v>1</v>
      </c>
      <c r="M3" s="83"/>
      <c r="N3" s="93"/>
    </row>
    <row r="4" ht="63.75" customHeight="1">
      <c r="A4" s="85" cm="1">
        <f t="array" ref="A4">A3+1</f>
        <v>3</v>
      </c>
      <c r="B4" t="s" s="86">
        <v>51</v>
      </c>
      <c r="C4" t="s" s="87">
        <v>54</v>
      </c>
      <c r="D4" s="88">
        <v>1</v>
      </c>
      <c r="E4" s="89"/>
      <c r="F4" s="90"/>
      <c r="G4" s="91"/>
      <c r="H4" t="b" s="92">
        <v>1</v>
      </c>
      <c r="I4" s="34">
        <v>3</v>
      </c>
      <c r="J4" s="34" cm="1">
        <f t="array" ref="J4">IF(D4=1,I4,IF(H4=TRUE,-5,""))</f>
        <v>3</v>
      </c>
      <c r="K4" s="34" cm="1">
        <f t="array" ref="K4">IF(F4=1,I4,IF(H4=TRUE,-5,""))</f>
        <v>-5</v>
      </c>
      <c r="L4" s="34" cm="1">
        <f t="array" ref="L4">IF(J4=K4,0,1)</f>
        <v>1</v>
      </c>
      <c r="M4" s="83"/>
      <c r="N4" s="94"/>
    </row>
    <row r="5" ht="93.75" customHeight="1">
      <c r="A5" s="85" cm="1">
        <f t="array" ref="A5">A4+1</f>
        <v>4</v>
      </c>
      <c r="B5" t="s" s="86">
        <v>51</v>
      </c>
      <c r="C5" t="s" s="87">
        <v>55</v>
      </c>
      <c r="D5" s="88">
        <v>1</v>
      </c>
      <c r="E5" s="89"/>
      <c r="F5" s="90"/>
      <c r="G5" s="91"/>
      <c r="H5" t="b" s="92">
        <v>1</v>
      </c>
      <c r="I5" s="34">
        <v>3</v>
      </c>
      <c r="J5" s="34" cm="1">
        <f t="array" ref="J5">IF(D5=1,I5,IF(H5=TRUE,-5,""))</f>
        <v>3</v>
      </c>
      <c r="K5" s="34" cm="1">
        <f t="array" ref="K5">IF(F5=1,I5,IF(H5=TRUE,-5,""))</f>
        <v>-5</v>
      </c>
      <c r="L5" s="34" cm="1">
        <f t="array" ref="L5">IF(J5=K5,0,1)</f>
        <v>1</v>
      </c>
      <c r="M5" s="83"/>
      <c r="N5" s="95"/>
    </row>
    <row r="6" ht="75.75" customHeight="1">
      <c r="A6" s="85" cm="1">
        <f t="array" ref="A6">A5+1</f>
        <v>5</v>
      </c>
      <c r="B6" t="s" s="86">
        <v>51</v>
      </c>
      <c r="C6" t="s" s="87">
        <v>56</v>
      </c>
      <c r="D6" s="88">
        <v>1</v>
      </c>
      <c r="E6" t="s" s="96">
        <v>57</v>
      </c>
      <c r="F6" s="90"/>
      <c r="G6" s="91"/>
      <c r="H6" t="b" s="92">
        <v>1</v>
      </c>
      <c r="I6" s="34">
        <v>3</v>
      </c>
      <c r="J6" s="34" cm="1">
        <f t="array" ref="J6">IF(D6=1,I6,IF(H6=TRUE,-5,""))</f>
        <v>3</v>
      </c>
      <c r="K6" s="34" cm="1">
        <f t="array" ref="K6">IF(F6=1,I6,IF(H6=TRUE,-5,""))</f>
        <v>-5</v>
      </c>
      <c r="L6" s="34" cm="1">
        <f t="array" ref="L6">IF(J6=K6,0,1)</f>
        <v>1</v>
      </c>
      <c r="M6" s="83"/>
      <c r="N6" s="95"/>
    </row>
    <row r="7" ht="75.75" customHeight="1">
      <c r="A7" s="85" cm="1">
        <f t="array" ref="A7">A6+1</f>
        <v>6</v>
      </c>
      <c r="B7" t="s" s="86">
        <v>51</v>
      </c>
      <c r="C7" t="s" s="87">
        <v>58</v>
      </c>
      <c r="D7" s="88">
        <v>1</v>
      </c>
      <c r="E7" t="s" s="96">
        <v>59</v>
      </c>
      <c r="F7" s="90"/>
      <c r="G7" s="91"/>
      <c r="H7" t="b" s="92">
        <v>1</v>
      </c>
      <c r="I7" s="34">
        <v>3</v>
      </c>
      <c r="J7" s="34" cm="1">
        <f t="array" ref="J7">IF(D7=1,I7,IF(H7=TRUE,-5,""))</f>
        <v>3</v>
      </c>
      <c r="K7" s="34" cm="1">
        <f t="array" ref="K7">IF(F7=1,I7,IF(H7=TRUE,-5,""))</f>
        <v>-5</v>
      </c>
      <c r="L7" s="34" cm="1">
        <f t="array" ref="L7">IF(J7=K7,0,1)</f>
        <v>1</v>
      </c>
      <c r="M7" s="83"/>
      <c r="N7" s="93"/>
    </row>
    <row r="8" ht="103.5" customHeight="1">
      <c r="A8" s="85" cm="1">
        <f t="array" ref="A8">A7+1</f>
        <v>7</v>
      </c>
      <c r="B8" t="s" s="86">
        <v>51</v>
      </c>
      <c r="C8" t="s" s="87">
        <v>60</v>
      </c>
      <c r="D8" s="88">
        <v>1</v>
      </c>
      <c r="E8" s="89"/>
      <c r="F8" s="90"/>
      <c r="G8" s="91"/>
      <c r="H8" t="b" s="92">
        <v>1</v>
      </c>
      <c r="I8" s="34">
        <v>2</v>
      </c>
      <c r="J8" s="34" cm="1">
        <f t="array" ref="J8">IF(D8=1,I8,IF(H8=TRUE,-5,""))</f>
        <v>2</v>
      </c>
      <c r="K8" s="34" cm="1">
        <f t="array" ref="K8">IF(F8=1,I8,IF(H8=TRUE,-5,""))</f>
        <v>-5</v>
      </c>
      <c r="L8" s="34" cm="1">
        <f t="array" ref="L8">IF(J8=K8,0,1)</f>
        <v>1</v>
      </c>
      <c r="M8" s="83"/>
      <c r="N8" s="93"/>
    </row>
    <row r="9" ht="105.75" customHeight="1">
      <c r="A9" s="97" cm="1">
        <f t="array" ref="A9">A8+1</f>
        <v>8</v>
      </c>
      <c r="B9" t="s" s="98">
        <v>51</v>
      </c>
      <c r="C9" t="s" s="99">
        <v>61</v>
      </c>
      <c r="D9" s="88">
        <v>1</v>
      </c>
      <c r="E9" s="100"/>
      <c r="F9" s="90"/>
      <c r="G9" s="101"/>
      <c r="H9" t="b" s="102">
        <v>1</v>
      </c>
      <c r="I9" s="103">
        <v>4</v>
      </c>
      <c r="J9" s="103" cm="1">
        <f t="array" ref="J9">IF(D9=1,I9,IF(H9=TRUE,-5,""))</f>
        <v>4</v>
      </c>
      <c r="K9" s="103" cm="1">
        <f t="array" ref="K9">IF(F9=1,I9,IF(H9=TRUE,-5,""))</f>
        <v>-5</v>
      </c>
      <c r="L9" s="103" cm="1">
        <f t="array" ref="L9">IF(J9=K9,0,1)</f>
        <v>1</v>
      </c>
      <c r="M9" s="104"/>
      <c r="N9" s="105"/>
    </row>
    <row r="10" ht="139.5" customHeight="1">
      <c r="A10" s="106" cm="1">
        <f t="array" ref="A10">A9+1</f>
        <v>9</v>
      </c>
      <c r="B10" t="s" s="107">
        <v>62</v>
      </c>
      <c r="C10" t="s" s="108">
        <v>63</v>
      </c>
      <c r="D10" s="109">
        <v>1</v>
      </c>
      <c r="E10" s="110"/>
      <c r="F10" s="90"/>
      <c r="G10" s="111"/>
      <c r="H10" t="b" s="112">
        <v>1</v>
      </c>
      <c r="I10" s="113">
        <v>5</v>
      </c>
      <c r="J10" s="113" cm="1">
        <f t="array" ref="J10">IF(D10=1,I10,IF(H10=TRUE,-5,""))</f>
        <v>5</v>
      </c>
      <c r="K10" s="114" cm="1">
        <f t="array" ref="K10">IF(F10=1,I10,IF(H10=TRUE,-5,""))</f>
        <v>-5</v>
      </c>
      <c r="L10" s="113" cm="1">
        <f t="array" ref="L10">IF(J10=K10,0,1)</f>
        <v>1</v>
      </c>
      <c r="M10" s="115"/>
      <c r="N10" s="116"/>
    </row>
    <row r="11" ht="63" customHeight="1">
      <c r="A11" s="117" cm="1">
        <f t="array" ref="A11">A10+1</f>
        <v>10</v>
      </c>
      <c r="B11" t="s" s="118">
        <v>62</v>
      </c>
      <c r="C11" t="s" s="87">
        <v>64</v>
      </c>
      <c r="D11" s="109">
        <v>1</v>
      </c>
      <c r="E11" s="119"/>
      <c r="F11" s="90"/>
      <c r="G11" s="120"/>
      <c r="H11" t="b" s="121">
        <v>1</v>
      </c>
      <c r="I11" s="34">
        <v>3</v>
      </c>
      <c r="J11" s="34" cm="1">
        <f t="array" ref="J11">IF(D11=1,I11,IF(H11=TRUE,-5,""))</f>
        <v>3</v>
      </c>
      <c r="K11" s="122" cm="1">
        <f t="array" ref="K11">IF(F11=1,I11,IF(H11=TRUE,-5,""))</f>
        <v>-5</v>
      </c>
      <c r="L11" s="34" cm="1">
        <f t="array" ref="L11">IF(J11=K11,0,1)</f>
        <v>1</v>
      </c>
      <c r="M11" s="83"/>
      <c r="N11" s="93"/>
    </row>
    <row r="12" ht="90.75" customHeight="1">
      <c r="A12" s="117" cm="1">
        <f t="array" ref="A12">A11+1</f>
        <v>11</v>
      </c>
      <c r="B12" t="s" s="118">
        <v>62</v>
      </c>
      <c r="C12" t="s" s="87">
        <v>65</v>
      </c>
      <c r="D12" s="109">
        <v>1</v>
      </c>
      <c r="E12" s="119"/>
      <c r="F12" s="90"/>
      <c r="G12" s="120"/>
      <c r="H12" s="123"/>
      <c r="I12" s="34">
        <v>1</v>
      </c>
      <c r="J12" s="34" cm="1">
        <f t="array" ref="J12">IF(D12=1,I12,IF(H12=TRUE,-5,""))</f>
        <v>1</v>
      </c>
      <c r="K12" t="str" s="124" cm="1">
        <f t="array" ref="K12">IF(F12=1,I12,IF(H12=TRUE,-5,""))</f>
      </c>
      <c r="L12" s="34" cm="1">
        <f t="array" ref="L12">IF(J12=K12,0,1)</f>
        <v>1</v>
      </c>
      <c r="M12" s="83"/>
      <c r="N12" s="93"/>
    </row>
    <row r="13" ht="22.5" customHeight="1">
      <c r="A13" s="117" cm="1">
        <f t="array" ref="A13">A12+1</f>
        <v>12</v>
      </c>
      <c r="B13" t="s" s="118">
        <v>62</v>
      </c>
      <c r="C13" t="s" s="87">
        <v>66</v>
      </c>
      <c r="D13" s="109">
        <v>1</v>
      </c>
      <c r="E13" s="119"/>
      <c r="F13" s="90"/>
      <c r="G13" s="120"/>
      <c r="H13" s="123"/>
      <c r="I13" s="34">
        <v>1</v>
      </c>
      <c r="J13" s="34" cm="1">
        <f t="array" ref="J13">IF(D13=1,I13,IF(H13=TRUE,-5,""))</f>
        <v>1</v>
      </c>
      <c r="K13" t="str" s="124" cm="1">
        <f t="array" ref="K13">IF(F13=1,I13,IF(H13=TRUE,-5,""))</f>
      </c>
      <c r="L13" s="34" cm="1">
        <f t="array" ref="L13">IF(J13=K13,0,1)</f>
        <v>1</v>
      </c>
      <c r="M13" s="83"/>
      <c r="N13" s="93"/>
    </row>
    <row r="14" ht="68.25" customHeight="1">
      <c r="A14" s="117" cm="1">
        <f t="array" ref="A14">A13+1</f>
        <v>13</v>
      </c>
      <c r="B14" t="s" s="118">
        <v>62</v>
      </c>
      <c r="C14" t="s" s="87">
        <v>67</v>
      </c>
      <c r="D14" s="109">
        <v>1</v>
      </c>
      <c r="E14" s="119"/>
      <c r="F14" s="90"/>
      <c r="G14" s="120"/>
      <c r="H14" s="123"/>
      <c r="I14" s="34">
        <v>1</v>
      </c>
      <c r="J14" s="34" cm="1">
        <f t="array" ref="J14">IF(D14=1,I14,IF(H14=TRUE,-5,""))</f>
        <v>1</v>
      </c>
      <c r="K14" t="str" s="124" cm="1">
        <f t="array" ref="K14">IF(F14=1,I14,IF(H14=TRUE,-5,""))</f>
      </c>
      <c r="L14" s="34" cm="1">
        <f t="array" ref="L14">IF(J14=K14,0,1)</f>
        <v>1</v>
      </c>
      <c r="M14" s="83"/>
      <c r="N14" s="93"/>
    </row>
    <row r="15" ht="45.75" customHeight="1">
      <c r="A15" s="117" cm="1">
        <f t="array" ref="A15">A14+1</f>
        <v>14</v>
      </c>
      <c r="B15" t="s" s="118">
        <v>62</v>
      </c>
      <c r="C15" t="s" s="87">
        <v>68</v>
      </c>
      <c r="D15" s="109">
        <v>1</v>
      </c>
      <c r="E15" s="119"/>
      <c r="F15" s="90"/>
      <c r="G15" s="120"/>
      <c r="H15" s="123"/>
      <c r="I15" s="34">
        <v>1</v>
      </c>
      <c r="J15" s="34" cm="1">
        <f t="array" ref="J15">IF(D15=1,I15,IF(H15=TRUE,-5,""))</f>
        <v>1</v>
      </c>
      <c r="K15" t="str" s="124" cm="1">
        <f t="array" ref="K15">IF(F15=1,I15,IF(H15=TRUE,-5,""))</f>
      </c>
      <c r="L15" s="34" cm="1">
        <f t="array" ref="L15">IF(J15=K15,0,1)</f>
        <v>1</v>
      </c>
      <c r="M15" s="83"/>
      <c r="N15" s="93"/>
    </row>
    <row r="16" ht="30.75" customHeight="1">
      <c r="A16" s="117" cm="1">
        <f t="array" ref="A16">A15+1</f>
        <v>15</v>
      </c>
      <c r="B16" t="s" s="118">
        <v>62</v>
      </c>
      <c r="C16" t="s" s="87">
        <v>69</v>
      </c>
      <c r="D16" s="109">
        <v>1</v>
      </c>
      <c r="E16" s="119"/>
      <c r="F16" s="90"/>
      <c r="G16" s="120"/>
      <c r="H16" s="123"/>
      <c r="I16" s="34">
        <v>1</v>
      </c>
      <c r="J16" s="34" cm="1">
        <f t="array" ref="J16">IF(D16=1,I16,IF(H16=TRUE,-5,""))</f>
        <v>1</v>
      </c>
      <c r="K16" t="str" s="124" cm="1">
        <f t="array" ref="K16">IF(F16=1,I16,IF(H16=TRUE,-5,""))</f>
      </c>
      <c r="L16" s="34" cm="1">
        <f t="array" ref="L16">IF(J16=K16,0,1)</f>
        <v>1</v>
      </c>
      <c r="M16" s="83"/>
      <c r="N16" s="93"/>
    </row>
    <row r="17" ht="62.25" customHeight="1">
      <c r="A17" s="117" cm="1">
        <f t="array" ref="A17">A16+1</f>
        <v>16</v>
      </c>
      <c r="B17" t="s" s="118">
        <v>62</v>
      </c>
      <c r="C17" t="s" s="87">
        <v>70</v>
      </c>
      <c r="D17" s="109">
        <v>1</v>
      </c>
      <c r="E17" s="119"/>
      <c r="F17" s="90"/>
      <c r="G17" s="120"/>
      <c r="H17" s="123"/>
      <c r="I17" s="34">
        <v>1</v>
      </c>
      <c r="J17" s="34" cm="1">
        <f t="array" ref="J17">IF(D17=1,I17,IF(H17=TRUE,-5,""))</f>
        <v>1</v>
      </c>
      <c r="K17" t="str" s="124" cm="1">
        <f t="array" ref="K17">IF(F17=1,I17,IF(H17=TRUE,-5,""))</f>
      </c>
      <c r="L17" s="34" cm="1">
        <f t="array" ref="L17">IF(J17=K17,0,1)</f>
        <v>1</v>
      </c>
      <c r="M17" s="83"/>
      <c r="N17" s="93"/>
    </row>
    <row r="18" ht="27.75" customHeight="1">
      <c r="A18" s="117" cm="1">
        <f t="array" ref="A18">A17+1</f>
        <v>17</v>
      </c>
      <c r="B18" t="s" s="118">
        <v>62</v>
      </c>
      <c r="C18" t="s" s="87">
        <v>71</v>
      </c>
      <c r="D18" s="109">
        <v>1</v>
      </c>
      <c r="E18" s="119"/>
      <c r="F18" s="90"/>
      <c r="G18" s="120"/>
      <c r="H18" s="123"/>
      <c r="I18" s="34">
        <v>1</v>
      </c>
      <c r="J18" s="34" cm="1">
        <f t="array" ref="J18">IF(D18=1,I18,IF(H18=TRUE,-5,""))</f>
        <v>1</v>
      </c>
      <c r="K18" t="str" s="124" cm="1">
        <f t="array" ref="K18">IF(F18=1,I18,IF(H18=TRUE,-5,""))</f>
      </c>
      <c r="L18" s="34" cm="1">
        <f t="array" ref="L18">IF(J18=K18,0,1)</f>
        <v>1</v>
      </c>
      <c r="M18" s="83"/>
      <c r="N18" s="93"/>
    </row>
    <row r="19" ht="75.75" customHeight="1">
      <c r="A19" s="117" cm="1">
        <f t="array" ref="A19">A18+1</f>
        <v>18</v>
      </c>
      <c r="B19" t="s" s="118">
        <v>62</v>
      </c>
      <c r="C19" t="s" s="87">
        <v>72</v>
      </c>
      <c r="D19" s="109">
        <v>1</v>
      </c>
      <c r="E19" s="119"/>
      <c r="F19" s="90"/>
      <c r="G19" s="120"/>
      <c r="H19" s="123"/>
      <c r="I19" s="34">
        <v>1</v>
      </c>
      <c r="J19" s="34" cm="1">
        <f t="array" ref="J19">IF(D19=1,I19,IF(H19=TRUE,-5,""))</f>
        <v>1</v>
      </c>
      <c r="K19" t="str" s="124" cm="1">
        <f t="array" ref="K19">IF(F19=1,I19,IF(H19=TRUE,-5,""))</f>
      </c>
      <c r="L19" s="34" cm="1">
        <f t="array" ref="L19">IF(J19=K19,0,1)</f>
        <v>1</v>
      </c>
      <c r="M19" s="83"/>
      <c r="N19" s="93"/>
    </row>
    <row r="20" ht="141" customHeight="1">
      <c r="A20" s="117" cm="1">
        <f t="array" ref="A20">A19+1</f>
        <v>19</v>
      </c>
      <c r="B20" t="s" s="118">
        <v>62</v>
      </c>
      <c r="C20" t="s" s="87">
        <v>73</v>
      </c>
      <c r="D20" s="109">
        <v>1</v>
      </c>
      <c r="E20" s="119"/>
      <c r="F20" s="90"/>
      <c r="G20" s="120"/>
      <c r="H20" s="123"/>
      <c r="I20" s="34">
        <v>3</v>
      </c>
      <c r="J20" s="34" cm="1">
        <f t="array" ref="J20">IF(D20=1,I20,IF(H20=TRUE,-5,""))</f>
        <v>3</v>
      </c>
      <c r="K20" t="str" s="124" cm="1">
        <f t="array" ref="K20">IF(F20=1,I20,IF(H20=TRUE,-5,""))</f>
      </c>
      <c r="L20" s="34" cm="1">
        <f t="array" ref="L20">IF(J20=K20,0,1)</f>
        <v>1</v>
      </c>
      <c r="M20" s="83"/>
      <c r="N20" s="93"/>
    </row>
    <row r="21" ht="45.75" customHeight="1">
      <c r="A21" s="117" cm="1">
        <f t="array" ref="A21">A20+1</f>
        <v>20</v>
      </c>
      <c r="B21" t="s" s="118">
        <v>62</v>
      </c>
      <c r="C21" t="s" s="87">
        <v>74</v>
      </c>
      <c r="D21" s="109">
        <v>1</v>
      </c>
      <c r="E21" s="119"/>
      <c r="F21" s="90"/>
      <c r="G21" s="120"/>
      <c r="H21" s="123"/>
      <c r="I21" s="34">
        <v>3</v>
      </c>
      <c r="J21" s="34" cm="1">
        <f t="array" ref="J21">IF(D21=1,I21,IF(H21=TRUE,-5,""))</f>
        <v>3</v>
      </c>
      <c r="K21" t="str" s="124" cm="1">
        <f t="array" ref="K21">IF(F21=1,I21,IF(H21=TRUE,-5,""))</f>
      </c>
      <c r="L21" s="34" cm="1">
        <f t="array" ref="L21">IF(J21=K21,0,1)</f>
        <v>1</v>
      </c>
      <c r="M21" s="83"/>
      <c r="N21" s="93"/>
    </row>
    <row r="22" ht="75.75" customHeight="1">
      <c r="A22" s="117" cm="1">
        <f t="array" ref="A22">A21+1</f>
        <v>21</v>
      </c>
      <c r="B22" t="s" s="118">
        <v>62</v>
      </c>
      <c r="C22" t="s" s="87">
        <v>75</v>
      </c>
      <c r="D22" s="109">
        <v>1</v>
      </c>
      <c r="E22" s="119"/>
      <c r="F22" s="90"/>
      <c r="G22" s="120"/>
      <c r="H22" s="123"/>
      <c r="I22" s="34">
        <v>1</v>
      </c>
      <c r="J22" s="34" cm="1">
        <f t="array" ref="J22">IF(D22=1,I22,IF(H22=TRUE,-5,""))</f>
        <v>1</v>
      </c>
      <c r="K22" t="str" s="124" cm="1">
        <f t="array" ref="K22">IF(F22=1,I22,IF(H22=TRUE,-5,""))</f>
      </c>
      <c r="L22" s="34" cm="1">
        <f t="array" ref="L22">IF(J22=K22,0,1)</f>
        <v>1</v>
      </c>
      <c r="M22" s="83"/>
      <c r="N22" s="93"/>
    </row>
    <row r="23" ht="30.75" customHeight="1">
      <c r="A23" s="117" cm="1">
        <f t="array" ref="A23">A22+1</f>
        <v>22</v>
      </c>
      <c r="B23" t="s" s="118">
        <v>62</v>
      </c>
      <c r="C23" t="s" s="87">
        <v>76</v>
      </c>
      <c r="D23" s="109">
        <v>1</v>
      </c>
      <c r="E23" s="119"/>
      <c r="F23" s="90"/>
      <c r="G23" s="120"/>
      <c r="H23" s="123"/>
      <c r="I23" s="34">
        <v>1</v>
      </c>
      <c r="J23" s="34" cm="1">
        <f t="array" ref="J23">IF(D23=1,I23,IF(H23=TRUE,-5,""))</f>
        <v>1</v>
      </c>
      <c r="K23" t="str" s="124" cm="1">
        <f t="array" ref="K23">IF(F23=1,I23,IF(H23=TRUE,-5,""))</f>
      </c>
      <c r="L23" s="34" cm="1">
        <f t="array" ref="L23">IF(J23=K23,0,1)</f>
        <v>1</v>
      </c>
      <c r="M23" s="83"/>
      <c r="N23" s="93"/>
    </row>
    <row r="24" ht="30.75" customHeight="1">
      <c r="A24" s="117" cm="1">
        <f t="array" ref="A24">A23+1</f>
        <v>23</v>
      </c>
      <c r="B24" t="s" s="118">
        <v>62</v>
      </c>
      <c r="C24" t="s" s="87">
        <v>77</v>
      </c>
      <c r="D24" s="109">
        <v>1</v>
      </c>
      <c r="E24" s="119"/>
      <c r="F24" s="90"/>
      <c r="G24" s="120"/>
      <c r="H24" s="123"/>
      <c r="I24" s="34">
        <v>1</v>
      </c>
      <c r="J24" s="34" cm="1">
        <f t="array" ref="J24">IF(D24=1,I24,IF(H24=TRUE,-5,""))</f>
        <v>1</v>
      </c>
      <c r="K24" t="str" s="124" cm="1">
        <f t="array" ref="K24">IF(F24=1,I24,IF(H24=TRUE,-5,""))</f>
      </c>
      <c r="L24" s="34" cm="1">
        <f t="array" ref="L24">IF(J24=K24,0,1)</f>
        <v>1</v>
      </c>
      <c r="M24" s="83"/>
      <c r="N24" s="93"/>
    </row>
    <row r="25" ht="30" customHeight="1">
      <c r="A25" s="117" cm="1">
        <f t="array" ref="A25">A24+1</f>
        <v>24</v>
      </c>
      <c r="B25" t="s" s="118">
        <v>62</v>
      </c>
      <c r="C25" t="s" s="87">
        <v>78</v>
      </c>
      <c r="D25" s="109">
        <v>1</v>
      </c>
      <c r="E25" s="119"/>
      <c r="F25" s="90"/>
      <c r="G25" s="120"/>
      <c r="H25" s="123"/>
      <c r="I25" s="34">
        <v>1</v>
      </c>
      <c r="J25" s="34" cm="1">
        <f t="array" ref="J25">IF(D25=1,I25,IF(H25=TRUE,-5,""))</f>
        <v>1</v>
      </c>
      <c r="K25" t="str" s="124" cm="1">
        <f t="array" ref="K25">IF(F25=1,I25,IF(H25=TRUE,-5,""))</f>
      </c>
      <c r="L25" s="34" cm="1">
        <f t="array" ref="L25">IF(J25=K25,0,1)</f>
        <v>1</v>
      </c>
      <c r="M25" s="83"/>
      <c r="N25" s="93"/>
    </row>
    <row r="26" ht="30.75" customHeight="1">
      <c r="A26" s="125" cm="1">
        <f t="array" ref="A26">A25+1</f>
        <v>25</v>
      </c>
      <c r="B26" t="s" s="126">
        <v>62</v>
      </c>
      <c r="C26" t="s" s="99">
        <v>79</v>
      </c>
      <c r="D26" s="88">
        <v>1</v>
      </c>
      <c r="E26" s="100"/>
      <c r="F26" s="90"/>
      <c r="G26" s="101"/>
      <c r="H26" s="127"/>
      <c r="I26" s="103">
        <v>1</v>
      </c>
      <c r="J26" s="103" cm="1">
        <f t="array" ref="J26">IF(D26=1,I26,IF(H26=TRUE,-5,""))</f>
        <v>1</v>
      </c>
      <c r="K26" t="str" s="128" cm="1">
        <f t="array" ref="K26">IF(F26=1,I26,IF(H26=TRUE,-5,""))</f>
      </c>
      <c r="L26" s="103" cm="1">
        <f t="array" ref="L26">IF(J26=K26,0,1)</f>
        <v>1</v>
      </c>
      <c r="M26" s="104"/>
      <c r="N26" s="105"/>
    </row>
    <row r="27" ht="46.5" customHeight="1">
      <c r="A27" s="106" cm="1">
        <f t="array" ref="A27">A26+1</f>
        <v>26</v>
      </c>
      <c r="B27" t="s" s="129">
        <v>80</v>
      </c>
      <c r="C27" t="s" s="108">
        <v>81</v>
      </c>
      <c r="D27" s="109">
        <v>1</v>
      </c>
      <c r="E27" s="110"/>
      <c r="F27" s="90"/>
      <c r="G27" s="111"/>
      <c r="H27" s="130"/>
      <c r="I27" s="113">
        <v>2</v>
      </c>
      <c r="J27" s="113" cm="1">
        <f t="array" ref="J27">IF(D27=1,I27,IF(H27=TRUE,-5,""))</f>
        <v>2</v>
      </c>
      <c r="K27" t="str" s="131" cm="1">
        <f t="array" ref="K27">IF(F27=1,I27,IF(H27=TRUE,-5,""))</f>
      </c>
      <c r="L27" s="113" cm="1">
        <f t="array" ref="L27">IF(J27=K27,0,1)</f>
        <v>1</v>
      </c>
      <c r="M27" s="115"/>
      <c r="N27" s="116"/>
    </row>
    <row r="28" ht="94.5" customHeight="1">
      <c r="A28" s="117" cm="1">
        <f t="array" ref="A28">A27+1</f>
        <v>27</v>
      </c>
      <c r="B28" t="s" s="132">
        <v>80</v>
      </c>
      <c r="C28" t="s" s="87">
        <v>82</v>
      </c>
      <c r="D28" s="109">
        <v>1</v>
      </c>
      <c r="E28" s="119"/>
      <c r="F28" s="90"/>
      <c r="G28" s="120"/>
      <c r="H28" s="123"/>
      <c r="I28" s="34">
        <v>2</v>
      </c>
      <c r="J28" s="34" cm="1">
        <f t="array" ref="J28">IF(D28=1,I28,IF(H28=TRUE,-5,""))</f>
        <v>2</v>
      </c>
      <c r="K28" t="str" s="124" cm="1">
        <f t="array" ref="K28">IF(F28=1,I28,IF(H28=TRUE,-5,""))</f>
      </c>
      <c r="L28" s="34" cm="1">
        <f t="array" ref="L28">IF(J28=K28,0,1)</f>
        <v>1</v>
      </c>
      <c r="M28" s="83"/>
      <c r="N28" s="93"/>
    </row>
    <row r="29" ht="30.75" customHeight="1">
      <c r="A29" s="117" cm="1">
        <f t="array" ref="A29">A28+1</f>
        <v>28</v>
      </c>
      <c r="B29" t="s" s="132">
        <v>80</v>
      </c>
      <c r="C29" t="s" s="87">
        <v>83</v>
      </c>
      <c r="D29" s="109">
        <v>1</v>
      </c>
      <c r="E29" s="119"/>
      <c r="F29" s="90"/>
      <c r="G29" s="120"/>
      <c r="H29" s="123"/>
      <c r="I29" s="34">
        <v>1</v>
      </c>
      <c r="J29" s="34" cm="1">
        <f t="array" ref="J29">IF(D29=1,I29,IF(H29=TRUE,-5,""))</f>
        <v>1</v>
      </c>
      <c r="K29" t="str" s="124" cm="1">
        <f t="array" ref="K29">IF(F29=1,I29,IF(H29=TRUE,-5,""))</f>
      </c>
      <c r="L29" s="34" cm="1">
        <f t="array" ref="L29">IF(J29=K29,0,1)</f>
        <v>1</v>
      </c>
      <c r="M29" s="83"/>
      <c r="N29" s="93"/>
    </row>
    <row r="30" ht="30.75" customHeight="1">
      <c r="A30" s="117" cm="1">
        <f t="array" ref="A30">A29+1</f>
        <v>29</v>
      </c>
      <c r="B30" t="s" s="132">
        <v>80</v>
      </c>
      <c r="C30" t="s" s="87">
        <v>84</v>
      </c>
      <c r="D30" s="109">
        <v>1</v>
      </c>
      <c r="E30" s="119"/>
      <c r="F30" s="90"/>
      <c r="G30" s="120"/>
      <c r="H30" s="123"/>
      <c r="I30" s="34">
        <v>1</v>
      </c>
      <c r="J30" s="34" cm="1">
        <f t="array" ref="J30">IF(D30=1,I30,IF(H30=TRUE,-5,""))</f>
        <v>1</v>
      </c>
      <c r="K30" t="str" s="124" cm="1">
        <f t="array" ref="K30">IF(F30=1,I30,IF(H30=TRUE,-5,""))</f>
      </c>
      <c r="L30" s="34" cm="1">
        <f t="array" ref="L30">IF(J30=K30,0,1)</f>
        <v>1</v>
      </c>
      <c r="M30" s="83"/>
      <c r="N30" s="93"/>
    </row>
    <row r="31" ht="60.75" customHeight="1">
      <c r="A31" s="117" cm="1">
        <f t="array" ref="A31">A30+1</f>
        <v>30</v>
      </c>
      <c r="B31" t="s" s="132">
        <v>80</v>
      </c>
      <c r="C31" t="s" s="87">
        <v>85</v>
      </c>
      <c r="D31" s="109">
        <v>1</v>
      </c>
      <c r="E31" s="119"/>
      <c r="F31" s="90"/>
      <c r="G31" s="120"/>
      <c r="H31" s="123"/>
      <c r="I31" s="34">
        <v>3</v>
      </c>
      <c r="J31" s="34" cm="1">
        <f t="array" ref="J31">IF(D31=1,I31,IF(H31=TRUE,-5,""))</f>
        <v>3</v>
      </c>
      <c r="K31" t="str" s="124" cm="1">
        <f t="array" ref="K31">IF(F31=1,I31,IF(H31=TRUE,-5,""))</f>
      </c>
      <c r="L31" s="34" cm="1">
        <f t="array" ref="L31">IF(J31=K31,0,1)</f>
        <v>1</v>
      </c>
      <c r="M31" s="83"/>
      <c r="N31" s="93"/>
    </row>
    <row r="32" ht="30.75" customHeight="1">
      <c r="A32" s="117" cm="1">
        <f t="array" ref="A32">A31+1</f>
        <v>31</v>
      </c>
      <c r="B32" t="s" s="132">
        <v>80</v>
      </c>
      <c r="C32" t="s" s="87">
        <v>86</v>
      </c>
      <c r="D32" s="109">
        <v>1</v>
      </c>
      <c r="E32" s="119"/>
      <c r="F32" s="90"/>
      <c r="G32" s="120"/>
      <c r="H32" s="123"/>
      <c r="I32" s="34">
        <v>1</v>
      </c>
      <c r="J32" s="34" cm="1">
        <f t="array" ref="J32">IF(D32=1,I32,IF(H32=TRUE,-5,""))</f>
        <v>1</v>
      </c>
      <c r="K32" t="str" s="124" cm="1">
        <f t="array" ref="K32">IF(F32=1,I32,IF(H32=TRUE,-5,""))</f>
      </c>
      <c r="L32" s="34" cm="1">
        <f t="array" ref="L32">IF(J32=K32,0,1)</f>
        <v>1</v>
      </c>
      <c r="M32" s="83"/>
      <c r="N32" s="93"/>
    </row>
    <row r="33" ht="48" customHeight="1">
      <c r="A33" s="117" cm="1">
        <f t="array" ref="A33">A32+1</f>
        <v>32</v>
      </c>
      <c r="B33" t="s" s="132">
        <v>80</v>
      </c>
      <c r="C33" t="s" s="87">
        <v>87</v>
      </c>
      <c r="D33" s="109">
        <v>1</v>
      </c>
      <c r="E33" s="119"/>
      <c r="F33" s="90"/>
      <c r="G33" s="120"/>
      <c r="H33" s="123"/>
      <c r="I33" s="34">
        <v>1</v>
      </c>
      <c r="J33" s="34" cm="1">
        <f t="array" ref="J33">IF(D33=1,I33,IF(H33=TRUE,-5,""))</f>
        <v>1</v>
      </c>
      <c r="K33" t="str" s="124" cm="1">
        <f t="array" ref="K33">IF(F33=1,I33,IF(H33=TRUE,-5,""))</f>
      </c>
      <c r="L33" s="34" cm="1">
        <f t="array" ref="L33">IF(J33=K33,0,1)</f>
        <v>1</v>
      </c>
      <c r="M33" s="83"/>
      <c r="N33" s="93"/>
    </row>
    <row r="34" ht="90.75" customHeight="1">
      <c r="A34" s="117" cm="1">
        <f t="array" ref="A34">A33+1</f>
        <v>33</v>
      </c>
      <c r="B34" t="s" s="133">
        <v>80</v>
      </c>
      <c r="C34" t="s" s="99">
        <v>88</v>
      </c>
      <c r="D34" s="88">
        <v>1</v>
      </c>
      <c r="E34" s="100"/>
      <c r="F34" s="90"/>
      <c r="G34" s="101"/>
      <c r="H34" s="127"/>
      <c r="I34" s="103">
        <v>2</v>
      </c>
      <c r="J34" s="103" cm="1">
        <f t="array" ref="J34">IF(D34=1,I34,IF(H34=TRUE,-5,""))</f>
        <v>2</v>
      </c>
      <c r="K34" t="str" s="128" cm="1">
        <f t="array" ref="K34">IF(F34=1,I34,IF(H34=TRUE,-5,""))</f>
      </c>
      <c r="L34" s="103" cm="1">
        <f t="array" ref="L34">IF(J34=K34,0,1)</f>
        <v>1</v>
      </c>
      <c r="M34" s="104"/>
      <c r="N34" s="105"/>
    </row>
    <row r="35" ht="33.75" customHeight="1">
      <c r="A35" s="117" cm="1">
        <f t="array" ref="A35">A34+1</f>
        <v>34</v>
      </c>
      <c r="B35" t="s" s="134">
        <v>89</v>
      </c>
      <c r="C35" t="s" s="108">
        <v>90</v>
      </c>
      <c r="D35" s="109">
        <v>1</v>
      </c>
      <c r="E35" s="110"/>
      <c r="F35" s="90"/>
      <c r="G35" s="111"/>
      <c r="H35" t="b" s="112">
        <v>1</v>
      </c>
      <c r="I35" s="113">
        <v>4</v>
      </c>
      <c r="J35" s="113" cm="1">
        <f t="array" ref="J35">IF(D35=1,I35,IF(H35=TRUE,-5,""))</f>
        <v>4</v>
      </c>
      <c r="K35" s="114" cm="1">
        <f t="array" ref="K35">IF(F35=1,I35,IF(H35=TRUE,-5,""))</f>
        <v>-5</v>
      </c>
      <c r="L35" s="113" cm="1">
        <f t="array" ref="L35">IF(J35=K35,0,1)</f>
        <v>1</v>
      </c>
      <c r="M35" s="115"/>
      <c r="N35" s="116"/>
    </row>
    <row r="36" ht="30.75" customHeight="1">
      <c r="A36" s="117" cm="1">
        <f t="array" ref="A36">A35+1</f>
        <v>35</v>
      </c>
      <c r="B36" t="s" s="135">
        <v>89</v>
      </c>
      <c r="C36" t="s" s="87">
        <v>91</v>
      </c>
      <c r="D36" s="109">
        <v>1</v>
      </c>
      <c r="E36" s="119"/>
      <c r="F36" s="90"/>
      <c r="G36" s="120"/>
      <c r="H36" s="123"/>
      <c r="I36" s="34">
        <v>1</v>
      </c>
      <c r="J36" s="34" cm="1">
        <f t="array" ref="J36">IF(D36=1,I36,IF(H36=TRUE,-5,""))</f>
        <v>1</v>
      </c>
      <c r="K36" t="str" s="124" cm="1">
        <f t="array" ref="K36">IF(F36=1,I36,IF(H36=TRUE,-5,""))</f>
      </c>
      <c r="L36" s="34" cm="1">
        <f t="array" ref="L36">IF(J36=K36,0,1)</f>
        <v>1</v>
      </c>
      <c r="M36" s="83"/>
      <c r="N36" s="93"/>
    </row>
    <row r="37" ht="30.75" customHeight="1">
      <c r="A37" s="117" cm="1">
        <f t="array" ref="A37">A36+1</f>
        <v>36</v>
      </c>
      <c r="B37" t="s" s="135">
        <v>89</v>
      </c>
      <c r="C37" t="s" s="87">
        <v>92</v>
      </c>
      <c r="D37" s="109">
        <v>1</v>
      </c>
      <c r="E37" s="119"/>
      <c r="F37" s="90"/>
      <c r="G37" s="120"/>
      <c r="H37" t="b" s="121">
        <v>1</v>
      </c>
      <c r="I37" s="34">
        <v>2</v>
      </c>
      <c r="J37" s="34" cm="1">
        <f t="array" ref="J37">IF(D37=1,I37,IF(H37=TRUE,-5,""))</f>
        <v>2</v>
      </c>
      <c r="K37" s="122" cm="1">
        <f t="array" ref="K37">IF(F37=1,I37,IF(H37=TRUE,-5,""))</f>
        <v>-5</v>
      </c>
      <c r="L37" s="34" cm="1">
        <f t="array" ref="L37">IF(J37=K37,0,1)</f>
        <v>1</v>
      </c>
      <c r="M37" s="83"/>
      <c r="N37" s="93"/>
    </row>
    <row r="38" ht="45.75" customHeight="1">
      <c r="A38" s="117" cm="1">
        <f t="array" ref="A38">A37+1</f>
        <v>37</v>
      </c>
      <c r="B38" t="s" s="135">
        <v>89</v>
      </c>
      <c r="C38" t="s" s="87">
        <v>93</v>
      </c>
      <c r="D38" s="109">
        <v>0</v>
      </c>
      <c r="E38" s="119"/>
      <c r="F38" s="90"/>
      <c r="G38" s="120"/>
      <c r="H38" s="123"/>
      <c r="I38" s="34">
        <v>5</v>
      </c>
      <c r="J38" t="str" s="47" cm="1">
        <f t="array" ref="J38">IF(D38=1,I38,IF(H38=TRUE,-5,""))</f>
      </c>
      <c r="K38" t="str" s="124" cm="1">
        <f t="array" ref="K38">IF(F38=1,I38,IF(H38=TRUE,-5,""))</f>
      </c>
      <c r="L38" s="34" cm="1">
        <f t="array" ref="L38">IF(J38=K38,0,1)</f>
        <v>0</v>
      </c>
      <c r="M38" s="83"/>
      <c r="N38" s="93"/>
    </row>
    <row r="39" ht="152.25" customHeight="1">
      <c r="A39" s="117" cm="1">
        <f t="array" ref="A39">A38+1</f>
        <v>38</v>
      </c>
      <c r="B39" t="s" s="135">
        <v>89</v>
      </c>
      <c r="C39" t="s" s="87">
        <v>94</v>
      </c>
      <c r="D39" s="109">
        <v>1</v>
      </c>
      <c r="E39" s="119"/>
      <c r="F39" s="90"/>
      <c r="G39" s="120"/>
      <c r="H39" t="b" s="121">
        <v>1</v>
      </c>
      <c r="I39" s="34">
        <v>3</v>
      </c>
      <c r="J39" s="34" cm="1">
        <f t="array" ref="J39">IF(D39=1,I39,IF(H39=TRUE,-5,""))</f>
        <v>3</v>
      </c>
      <c r="K39" s="122" cm="1">
        <f t="array" ref="K39">IF(F39=1,I39,IF(H39=TRUE,-5,""))</f>
        <v>-5</v>
      </c>
      <c r="L39" s="34" cm="1">
        <f t="array" ref="L39">IF(J39=K39,0,1)</f>
        <v>1</v>
      </c>
      <c r="M39" s="83"/>
      <c r="N39" s="93"/>
    </row>
    <row r="40" ht="159" customHeight="1">
      <c r="A40" s="117" cm="1">
        <f t="array" ref="A40">A39+1</f>
        <v>39</v>
      </c>
      <c r="B40" t="s" s="135">
        <v>89</v>
      </c>
      <c r="C40" t="s" s="87">
        <v>95</v>
      </c>
      <c r="D40" s="109">
        <v>1</v>
      </c>
      <c r="E40" s="119"/>
      <c r="F40" s="90"/>
      <c r="G40" s="120"/>
      <c r="H40" s="123"/>
      <c r="I40" s="34">
        <v>5</v>
      </c>
      <c r="J40" s="34" cm="1">
        <f t="array" ref="J40">IF(D40=1,I40,IF(H40=TRUE,-5,""))</f>
        <v>5</v>
      </c>
      <c r="K40" t="str" s="124" cm="1">
        <f t="array" ref="K40">IF(F40=1,I40,IF(H40=TRUE,-5,""))</f>
      </c>
      <c r="L40" s="34" cm="1">
        <f t="array" ref="L40">IF(J40=K40,0,1)</f>
        <v>1</v>
      </c>
      <c r="M40" s="83"/>
      <c r="N40" s="93"/>
    </row>
    <row r="41" ht="45.75" customHeight="1">
      <c r="A41" s="117" cm="1">
        <f t="array" ref="A41">A40+1</f>
        <v>40</v>
      </c>
      <c r="B41" t="s" s="136">
        <v>89</v>
      </c>
      <c r="C41" t="s" s="99">
        <v>96</v>
      </c>
      <c r="D41" s="88">
        <v>1</v>
      </c>
      <c r="E41" s="100"/>
      <c r="F41" s="90"/>
      <c r="G41" s="101"/>
      <c r="H41" s="127"/>
      <c r="I41" s="103">
        <v>2</v>
      </c>
      <c r="J41" s="103" cm="1">
        <f t="array" ref="J41">IF(D41=1,I41,IF(H41=TRUE,-5,""))</f>
        <v>2</v>
      </c>
      <c r="K41" t="str" s="128" cm="1">
        <f t="array" ref="K41">IF(F41=1,I41,IF(H41=TRUE,-5,""))</f>
      </c>
      <c r="L41" s="103" cm="1">
        <f t="array" ref="L41">IF(J41=K41,0,1)</f>
        <v>1</v>
      </c>
      <c r="M41" s="104"/>
      <c r="N41" s="105"/>
    </row>
    <row r="42" ht="31.5" customHeight="1">
      <c r="A42" s="117" cm="1">
        <f t="array" ref="A42">A41+1</f>
        <v>41</v>
      </c>
      <c r="B42" t="s" s="137">
        <v>97</v>
      </c>
      <c r="C42" t="s" s="108">
        <v>98</v>
      </c>
      <c r="D42" s="109">
        <v>1</v>
      </c>
      <c r="E42" s="110"/>
      <c r="F42" s="90"/>
      <c r="G42" s="111"/>
      <c r="H42" t="b" s="112">
        <v>1</v>
      </c>
      <c r="I42" s="113">
        <v>2</v>
      </c>
      <c r="J42" s="113" cm="1">
        <f t="array" ref="J42">IF(D42=1,I42,IF(H42=TRUE,-5,""))</f>
        <v>2</v>
      </c>
      <c r="K42" s="114" cm="1">
        <f t="array" ref="K42">IF(F42=1,I42,IF(H42=TRUE,-5,""))</f>
        <v>-5</v>
      </c>
      <c r="L42" s="113" cm="1">
        <f t="array" ref="L42">IF(J42=K42,0,1)</f>
        <v>1</v>
      </c>
      <c r="M42" s="115"/>
      <c r="N42" s="116"/>
    </row>
    <row r="43" ht="30.75" customHeight="1">
      <c r="A43" s="117" cm="1">
        <f t="array" ref="A43">A42+1</f>
        <v>42</v>
      </c>
      <c r="B43" t="s" s="138">
        <v>97</v>
      </c>
      <c r="C43" t="s" s="87">
        <v>99</v>
      </c>
      <c r="D43" s="109">
        <v>1</v>
      </c>
      <c r="E43" s="119"/>
      <c r="F43" s="90"/>
      <c r="G43" s="120"/>
      <c r="H43" t="b" s="121">
        <v>1</v>
      </c>
      <c r="I43" s="34">
        <v>2</v>
      </c>
      <c r="J43" s="34" cm="1">
        <f t="array" ref="J43">IF(D43=1,I43,IF(H43=TRUE,-5,""))</f>
        <v>2</v>
      </c>
      <c r="K43" s="122" cm="1">
        <f t="array" ref="K43">IF(F43=1,I43,IF(H43=TRUE,-5,""))</f>
        <v>-5</v>
      </c>
      <c r="L43" s="34" cm="1">
        <f t="array" ref="L43">IF(J43=K43,0,1)</f>
        <v>1</v>
      </c>
      <c r="M43" s="83"/>
      <c r="N43" s="93"/>
    </row>
    <row r="44" ht="75.75" customHeight="1">
      <c r="A44" s="117" cm="1">
        <f t="array" ref="A44">A43+1</f>
        <v>43</v>
      </c>
      <c r="B44" t="s" s="138">
        <v>97</v>
      </c>
      <c r="C44" t="s" s="87">
        <v>100</v>
      </c>
      <c r="D44" s="109">
        <v>1</v>
      </c>
      <c r="E44" s="119"/>
      <c r="F44" s="90"/>
      <c r="G44" s="120"/>
      <c r="H44" t="b" s="121">
        <v>1</v>
      </c>
      <c r="I44" s="34">
        <v>2</v>
      </c>
      <c r="J44" s="34" cm="1">
        <f t="array" ref="J44">IF(D44=1,I44,IF(H44=TRUE,-5,""))</f>
        <v>2</v>
      </c>
      <c r="K44" s="122" cm="1">
        <f t="array" ref="K44">IF(F44=1,I44,IF(H44=TRUE,-5,""))</f>
        <v>-5</v>
      </c>
      <c r="L44" s="34" cm="1">
        <f t="array" ref="L44">IF(J44=K44,0,1)</f>
        <v>1</v>
      </c>
      <c r="M44" s="83"/>
      <c r="N44" s="93"/>
    </row>
    <row r="45" ht="35.25" customHeight="1">
      <c r="A45" s="85" cm="1">
        <f t="array" ref="A45">A44+1</f>
        <v>44</v>
      </c>
      <c r="B45" t="s" s="139">
        <v>97</v>
      </c>
      <c r="C45" t="s" s="87">
        <v>101</v>
      </c>
      <c r="D45" s="88">
        <v>1</v>
      </c>
      <c r="E45" s="89"/>
      <c r="F45" s="90"/>
      <c r="G45" s="120"/>
      <c r="H45" t="b" s="92">
        <v>1</v>
      </c>
      <c r="I45" s="34">
        <v>4</v>
      </c>
      <c r="J45" s="34" cm="1">
        <f t="array" ref="J45">IF(D45=1,I45,IF(H45=TRUE,-5,""))</f>
        <v>4</v>
      </c>
      <c r="K45" s="34" cm="1">
        <f t="array" ref="K45">IF(F45=1,I45,IF(H45=TRUE,-5,""))</f>
        <v>-5</v>
      </c>
      <c r="L45" s="34" cm="1">
        <f t="array" ref="L45">IF(J45=K45,0,1)</f>
        <v>1</v>
      </c>
      <c r="M45" s="83"/>
      <c r="N45" s="93"/>
    </row>
    <row r="46" ht="51" customHeight="1">
      <c r="A46" s="85" cm="1">
        <f t="array" ref="A46">A45+1</f>
        <v>45</v>
      </c>
      <c r="B46" t="s" s="139">
        <v>97</v>
      </c>
      <c r="C46" t="s" s="87">
        <v>102</v>
      </c>
      <c r="D46" s="88">
        <v>1</v>
      </c>
      <c r="E46" t="s" s="96">
        <v>103</v>
      </c>
      <c r="F46" s="90"/>
      <c r="G46" s="120"/>
      <c r="H46" t="b" s="92">
        <v>1</v>
      </c>
      <c r="I46" s="34">
        <v>2</v>
      </c>
      <c r="J46" s="34" cm="1">
        <f t="array" ref="J46">IF(D46=1,I46,IF(H46=TRUE,-5,""))</f>
        <v>2</v>
      </c>
      <c r="K46" s="34" cm="1">
        <f t="array" ref="K46">IF(F46=1,I46,IF(H46=TRUE,-5,""))</f>
        <v>-5</v>
      </c>
      <c r="L46" s="34" cm="1">
        <f t="array" ref="L46">IF(J46=K46,0,1)</f>
        <v>1</v>
      </c>
      <c r="M46" s="83"/>
      <c r="N46" s="93"/>
    </row>
    <row r="47" ht="101.25" customHeight="1">
      <c r="A47" s="85" cm="1">
        <f t="array" ref="A47">A46+1</f>
        <v>46</v>
      </c>
      <c r="B47" t="s" s="139">
        <v>97</v>
      </c>
      <c r="C47" t="s" s="87">
        <v>104</v>
      </c>
      <c r="D47" s="88">
        <v>1</v>
      </c>
      <c r="E47" t="s" s="96">
        <v>105</v>
      </c>
      <c r="F47" s="90"/>
      <c r="G47" s="120"/>
      <c r="H47" t="b" s="92">
        <v>1</v>
      </c>
      <c r="I47" s="34">
        <v>3</v>
      </c>
      <c r="J47" s="34" cm="1">
        <f t="array" ref="J47">IF(D47=1,I47,IF(H47=TRUE,-5,""))</f>
        <v>3</v>
      </c>
      <c r="K47" s="34" cm="1">
        <f t="array" ref="K47">IF(F47=1,I47,IF(H47=TRUE,-5,""))</f>
        <v>-5</v>
      </c>
      <c r="L47" s="34" cm="1">
        <f t="array" ref="L47">IF(J47=K47,0,1)</f>
        <v>1</v>
      </c>
      <c r="M47" s="83"/>
      <c r="N47" s="93"/>
    </row>
    <row r="48" ht="14.25" customHeight="1">
      <c r="A48" s="140"/>
      <c r="B48" s="141"/>
      <c r="C48" s="142"/>
      <c r="D48" s="143"/>
      <c r="E48" s="142"/>
      <c r="F48" s="144"/>
      <c r="G48" s="142"/>
      <c r="H48" s="145"/>
      <c r="I48" s="146"/>
      <c r="J48" s="146"/>
      <c r="K48" s="146"/>
      <c r="L48" s="146"/>
      <c r="M48" s="93"/>
      <c r="N48" s="93"/>
    </row>
    <row r="49" ht="13.75" customHeight="1">
      <c r="A49" s="140"/>
      <c r="B49" s="147"/>
      <c r="C49" s="148"/>
      <c r="D49" s="149"/>
      <c r="E49" s="148"/>
      <c r="F49" s="148"/>
      <c r="G49" s="148"/>
      <c r="H49" s="149"/>
      <c r="I49" s="93"/>
      <c r="J49" s="93"/>
      <c r="K49" s="93"/>
      <c r="L49" s="93"/>
      <c r="M49" s="93"/>
      <c r="N49" s="93"/>
    </row>
    <row r="50" ht="15.75" customHeight="1">
      <c r="A50" s="140"/>
      <c r="B50" s="147"/>
      <c r="C50" s="148"/>
      <c r="D50" s="149"/>
      <c r="E50" s="148"/>
      <c r="F50" s="148"/>
      <c r="G50" s="150"/>
      <c r="H50" s="149"/>
      <c r="I50" s="93"/>
      <c r="J50" s="93"/>
      <c r="K50" s="93"/>
      <c r="L50" s="93"/>
      <c r="M50" s="93"/>
      <c r="N50" s="93"/>
    </row>
    <row r="51" ht="15.75" customHeight="1">
      <c r="A51" s="140"/>
      <c r="B51" s="147"/>
      <c r="C51" s="148"/>
      <c r="D51" s="149"/>
      <c r="E51" s="148"/>
      <c r="F51" s="151"/>
      <c r="G51" s="152"/>
      <c r="H51" s="153"/>
      <c r="I51" s="93"/>
      <c r="J51" s="93"/>
      <c r="K51" s="93"/>
      <c r="L51" s="93"/>
      <c r="M51" s="93"/>
      <c r="N51" s="93"/>
    </row>
  </sheetData>
  <conditionalFormatting sqref="D1 F1 D48:D51 F48:F51">
    <cfRule type="cellIs" dxfId="0" priority="1" operator="equal" stopIfTrue="1">
      <formula>1</formula>
    </cfRule>
  </conditionalFormatting>
  <conditionalFormatting sqref="D2:D47 F2:F47">
    <cfRule type="cellIs" dxfId="1" priority="1" operator="notEqual" stopIfTrue="1">
      <formula>1</formula>
    </cfRule>
    <cfRule type="cellIs" dxfId="2" priority="2" operator="equal" stopIfTrue="1">
      <formula>1</formula>
    </cfRule>
  </conditionalFormatting>
  <dataValidations count="1">
    <dataValidation type="list" allowBlank="1" showInputMessage="1" showErrorMessage="1" sqref="D2:D47">
      <formula1>"1,0"</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J19"/>
  <sheetViews>
    <sheetView workbookViewId="0" showGridLines="0" defaultGridColor="1"/>
  </sheetViews>
  <sheetFormatPr defaultColWidth="8.83333" defaultRowHeight="15" customHeight="1" outlineLevelRow="0" outlineLevelCol="0"/>
  <cols>
    <col min="1" max="1" width="9.17188" style="154" customWidth="1"/>
    <col min="2" max="2" width="8.85156" style="154" customWidth="1"/>
    <col min="3" max="3" width="11.6719" style="154" customWidth="1"/>
    <col min="4" max="4" width="17.6719" style="154" customWidth="1"/>
    <col min="5" max="6" width="8.85156" style="154" customWidth="1"/>
    <col min="7" max="7" width="16.5" style="154" customWidth="1"/>
    <col min="8" max="8" width="13.6719" style="154" customWidth="1"/>
    <col min="9" max="10" width="8.85156" style="154" customWidth="1"/>
    <col min="11" max="16384" width="8.85156" style="154" customWidth="1"/>
  </cols>
  <sheetData>
    <row r="1" ht="13.55" customHeight="1">
      <c r="A1" s="155"/>
      <c r="B1" t="s" s="156">
        <v>107</v>
      </c>
      <c r="C1" s="157"/>
      <c r="D1" s="157"/>
      <c r="E1" s="83"/>
      <c r="F1" s="93"/>
      <c r="G1" s="93"/>
      <c r="H1" s="93"/>
      <c r="I1" s="93"/>
      <c r="J1" s="93"/>
    </row>
    <row r="2" ht="13.55" customHeight="1">
      <c r="A2" s="158"/>
      <c r="B2" s="47"/>
      <c r="C2" s="34" cm="1">
        <f t="array" ref="C2">'Fedőlap'!D11</f>
        <v>100</v>
      </c>
      <c r="D2" s="47"/>
      <c r="E2" s="83"/>
      <c r="F2" s="93"/>
      <c r="G2" s="93"/>
      <c r="H2" s="93"/>
      <c r="I2" s="93"/>
      <c r="J2" s="93"/>
    </row>
    <row r="3" ht="13.55" customHeight="1">
      <c r="A3" s="158"/>
      <c r="B3" s="159">
        <v>0.49</v>
      </c>
      <c r="C3" s="160">
        <v>-100</v>
      </c>
      <c r="D3" t="s" s="161">
        <v>108</v>
      </c>
      <c r="E3" s="83"/>
      <c r="F3" s="93"/>
      <c r="G3" s="93"/>
      <c r="H3" s="162">
        <v>56</v>
      </c>
      <c r="I3" s="162">
        <v>29</v>
      </c>
      <c r="J3" s="162" cm="1">
        <f t="array" ref="J3">(H3-I3)*16/56</f>
        <v>7.71428571428571</v>
      </c>
    </row>
    <row r="4" ht="13.55" customHeight="1">
      <c r="A4" s="158"/>
      <c r="B4" s="159">
        <v>0.62</v>
      </c>
      <c r="C4" s="160" cm="1">
        <f t="array" ref="C4">ROUNDDOWN($C$2*B3+1,0)</f>
        <v>50</v>
      </c>
      <c r="D4" t="s" s="161">
        <v>109</v>
      </c>
      <c r="E4" s="83"/>
      <c r="F4" s="93"/>
      <c r="G4" s="93"/>
      <c r="H4" s="162" cm="1">
        <f t="array" ref="H4">H3/2</f>
        <v>28</v>
      </c>
      <c r="I4" s="93"/>
      <c r="J4" s="93"/>
    </row>
    <row r="5" ht="13.55" customHeight="1">
      <c r="A5" s="158"/>
      <c r="B5" s="159">
        <v>0.75</v>
      </c>
      <c r="C5" s="160" cm="1">
        <f t="array" ref="C5">ROUNDDOWN($C$2*B4+1,0)</f>
        <v>63</v>
      </c>
      <c r="D5" t="s" s="161">
        <v>110</v>
      </c>
      <c r="E5" s="83"/>
      <c r="F5" s="93"/>
      <c r="G5" s="93"/>
      <c r="H5" s="93"/>
      <c r="I5" s="93"/>
      <c r="J5" s="93"/>
    </row>
    <row r="6" ht="13.55" customHeight="1">
      <c r="A6" s="158"/>
      <c r="B6" s="159">
        <v>0.88</v>
      </c>
      <c r="C6" s="160" cm="1">
        <f t="array" ref="C6">ROUNDDOWN($C$2*B5+1,0)</f>
        <v>76</v>
      </c>
      <c r="D6" t="s" s="161">
        <v>111</v>
      </c>
      <c r="E6" s="83"/>
      <c r="F6" s="93"/>
      <c r="G6" s="93"/>
      <c r="H6" s="93"/>
      <c r="I6" s="93"/>
      <c r="J6" s="93"/>
    </row>
    <row r="7" ht="13.55" customHeight="1">
      <c r="A7" s="158"/>
      <c r="B7" s="159">
        <v>1</v>
      </c>
      <c r="C7" s="160" cm="1">
        <f t="array" ref="C7">ROUNDDOWN($C$2*B6+1,0)</f>
        <v>89</v>
      </c>
      <c r="D7" t="s" s="161">
        <v>112</v>
      </c>
      <c r="E7" s="83"/>
      <c r="F7" s="93"/>
      <c r="G7" s="93"/>
      <c r="H7" s="93"/>
      <c r="I7" s="93"/>
      <c r="J7" s="93"/>
    </row>
    <row r="8" ht="13.55" customHeight="1">
      <c r="A8" s="163"/>
      <c r="B8" s="164"/>
      <c r="C8" s="146"/>
      <c r="D8" s="165"/>
      <c r="E8" s="93"/>
      <c r="F8" s="93"/>
      <c r="G8" s="93"/>
      <c r="H8" s="93"/>
      <c r="I8" s="93"/>
      <c r="J8" s="93"/>
    </row>
    <row r="9" ht="13.55" customHeight="1">
      <c r="A9" s="163"/>
      <c r="B9" s="17"/>
      <c r="C9" s="93"/>
      <c r="D9" t="b" s="162">
        <v>1</v>
      </c>
      <c r="E9" s="93"/>
      <c r="F9" s="93"/>
      <c r="G9" s="93"/>
      <c r="H9" s="93"/>
      <c r="I9" s="93"/>
      <c r="J9" s="93"/>
    </row>
    <row r="10" ht="13.55" customHeight="1">
      <c r="A10" s="163"/>
      <c r="B10" s="17"/>
      <c r="C10" s="93"/>
      <c r="D10" t="b" s="162">
        <v>0</v>
      </c>
      <c r="E10" s="93"/>
      <c r="F10" s="93"/>
      <c r="G10" s="93"/>
      <c r="H10" s="93"/>
      <c r="I10" s="93"/>
      <c r="J10" s="93"/>
    </row>
    <row r="11" ht="13.55" customHeight="1">
      <c r="A11" s="163"/>
      <c r="B11" s="17"/>
      <c r="C11" s="93"/>
      <c r="D11" s="93"/>
      <c r="E11" s="93"/>
      <c r="F11" s="93"/>
      <c r="G11" s="93"/>
      <c r="H11" s="93"/>
      <c r="I11" s="93"/>
      <c r="J11" s="93"/>
    </row>
    <row r="12" ht="13.55" customHeight="1">
      <c r="A12" s="163"/>
      <c r="B12" s="17"/>
      <c r="C12" s="93"/>
      <c r="D12" s="93"/>
      <c r="E12" s="93"/>
      <c r="F12" s="93"/>
      <c r="G12" s="93"/>
      <c r="H12" s="93"/>
      <c r="I12" s="93"/>
      <c r="J12" s="93"/>
    </row>
    <row r="13" ht="13.55" customHeight="1">
      <c r="A13" s="163"/>
      <c r="B13" s="17"/>
      <c r="C13" s="93"/>
      <c r="D13" s="93"/>
      <c r="E13" s="93"/>
      <c r="F13" s="93"/>
      <c r="G13" s="93"/>
      <c r="H13" s="93"/>
      <c r="I13" s="93"/>
      <c r="J13" s="93"/>
    </row>
    <row r="14" ht="13.55" customHeight="1">
      <c r="A14" s="163"/>
      <c r="B14" s="17"/>
      <c r="C14" s="93"/>
      <c r="D14" s="93"/>
      <c r="E14" s="93"/>
      <c r="F14" s="93"/>
      <c r="G14" s="93"/>
      <c r="H14" s="93"/>
      <c r="I14" s="93"/>
      <c r="J14" s="93"/>
    </row>
    <row r="15" ht="13.55" customHeight="1">
      <c r="A15" s="163"/>
      <c r="B15" s="17"/>
      <c r="C15" s="93"/>
      <c r="D15" s="93"/>
      <c r="E15" s="93"/>
      <c r="F15" s="93"/>
      <c r="G15" s="93"/>
      <c r="H15" s="93"/>
      <c r="I15" s="93"/>
      <c r="J15" s="93"/>
    </row>
    <row r="16" ht="13.55" customHeight="1">
      <c r="A16" s="163"/>
      <c r="B16" s="17"/>
      <c r="C16" s="93"/>
      <c r="D16" s="93"/>
      <c r="E16" s="93"/>
      <c r="F16" s="93"/>
      <c r="G16" s="93"/>
      <c r="H16" s="93"/>
      <c r="I16" s="93"/>
      <c r="J16" s="93"/>
    </row>
    <row r="17" ht="13.55" customHeight="1">
      <c r="A17" s="163"/>
      <c r="B17" s="17"/>
      <c r="C17" s="93"/>
      <c r="D17" s="93"/>
      <c r="E17" s="93"/>
      <c r="F17" s="93"/>
      <c r="G17" s="93"/>
      <c r="H17" s="93"/>
      <c r="I17" s="93"/>
      <c r="J17" s="93"/>
    </row>
    <row r="18" ht="13.55" customHeight="1">
      <c r="A18" s="163"/>
      <c r="B18" s="17"/>
      <c r="C18" s="93"/>
      <c r="D18" s="93"/>
      <c r="E18" s="93"/>
      <c r="F18" s="93"/>
      <c r="G18" s="93"/>
      <c r="H18" s="93"/>
      <c r="I18" s="93"/>
      <c r="J18" s="93"/>
    </row>
    <row r="19" ht="13.55" customHeight="1">
      <c r="A19" s="166"/>
      <c r="B19" s="167"/>
      <c r="C19" s="93"/>
      <c r="D19" s="93"/>
      <c r="E19" s="93"/>
      <c r="F19" s="93"/>
      <c r="G19" s="93"/>
      <c r="H19" s="93"/>
      <c r="I19" s="93"/>
      <c r="J19" s="9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